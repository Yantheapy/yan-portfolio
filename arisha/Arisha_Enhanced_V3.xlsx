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antherapygmail.com/Desktop/ArishaDashboard/"/>
    </mc:Choice>
  </mc:AlternateContent>
  <xr:revisionPtr revIDLastSave="0" documentId="11_43F773E62B46FA795425A3D65484452531B66010" xr6:coauthVersionLast="47" xr6:coauthVersionMax="47" xr10:uidLastSave="{00000000-0000-0000-0000-000000000000}"/>
  <bookViews>
    <workbookView xWindow="0" yWindow="660" windowWidth="29400" windowHeight="17280" tabRatio="500" xr2:uid="{00000000-000D-0000-FFFF-FFFF00000000}"/>
  </bookViews>
  <sheets>
    <sheet name="Summary" sheetId="1" r:id="rId1"/>
    <sheet name="Assumptions" sheetId="2" r:id="rId2"/>
    <sheet name="Price List" sheetId="3" r:id="rId3"/>
    <sheet name="Revenue" sheetId="4" r:id="rId4"/>
    <sheet name="Capacity" sheetId="5" r:id="rId5"/>
    <sheet name="Sales Plan" sheetId="6" r:id="rId6"/>
    <sheet name="Staffing Detail" sheetId="7" r:id="rId7"/>
    <sheet name="OpEx" sheetId="8" r:id="rId8"/>
    <sheet name="P&amp;L" sheetId="9" r:id="rId9"/>
    <sheet name="Monthly P&amp;L" sheetId="10" r:id="rId10"/>
    <sheet name="CapEx" sheetId="11" r:id="rId11"/>
    <sheet name="Cash Flow &amp; DCF" sheetId="12" r:id="rId12"/>
    <sheet name="Exit Valuation" sheetId="13" r:id="rId13"/>
    <sheet name="Sensitivity Analysis" sheetId="14" r:id="rId14"/>
    <sheet name="Patient Acquisition" sheetId="15" r:id="rId15"/>
    <sheet name="Data Sources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6" i="15" l="1"/>
  <c r="K116" i="15"/>
  <c r="J116" i="15"/>
  <c r="I116" i="15"/>
  <c r="H116" i="15"/>
  <c r="G116" i="15"/>
  <c r="F116" i="15"/>
  <c r="E116" i="15"/>
  <c r="D116" i="15"/>
  <c r="C116" i="15"/>
  <c r="L109" i="15"/>
  <c r="K109" i="15"/>
  <c r="J109" i="15"/>
  <c r="I109" i="15"/>
  <c r="H109" i="15"/>
  <c r="G109" i="15"/>
  <c r="F109" i="15"/>
  <c r="E109" i="15"/>
  <c r="D109" i="15"/>
  <c r="C109" i="15"/>
  <c r="L102" i="15"/>
  <c r="K102" i="15"/>
  <c r="J102" i="15"/>
  <c r="I102" i="15"/>
  <c r="H102" i="15"/>
  <c r="G102" i="15"/>
  <c r="F102" i="15"/>
  <c r="E102" i="15"/>
  <c r="D102" i="15"/>
  <c r="C102" i="15"/>
  <c r="B28" i="15"/>
  <c r="B27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D27" i="14"/>
  <c r="D26" i="14"/>
  <c r="D25" i="14"/>
  <c r="D24" i="14"/>
  <c r="D23" i="14"/>
  <c r="D22" i="14"/>
  <c r="D21" i="14"/>
  <c r="B8" i="13"/>
  <c r="C128" i="12"/>
  <c r="B128" i="12"/>
  <c r="B131" i="12" s="1"/>
  <c r="B132" i="12" s="1"/>
  <c r="A127" i="12"/>
  <c r="A123" i="12"/>
  <c r="A120" i="12"/>
  <c r="C119" i="12"/>
  <c r="B119" i="12"/>
  <c r="B121" i="12" s="1"/>
  <c r="B122" i="12" s="1"/>
  <c r="A118" i="12"/>
  <c r="B105" i="12"/>
  <c r="B91" i="12"/>
  <c r="C35" i="12"/>
  <c r="B35" i="12"/>
  <c r="L13" i="12"/>
  <c r="K13" i="12"/>
  <c r="J13" i="12"/>
  <c r="I13" i="12"/>
  <c r="H13" i="12"/>
  <c r="G13" i="12"/>
  <c r="F13" i="12"/>
  <c r="E13" i="12"/>
  <c r="D13" i="12"/>
  <c r="C13" i="12"/>
  <c r="C52" i="11"/>
  <c r="B52" i="11"/>
  <c r="D52" i="11" s="1"/>
  <c r="B42" i="12" s="1"/>
  <c r="C51" i="11"/>
  <c r="B51" i="11"/>
  <c r="D51" i="11" s="1"/>
  <c r="D50" i="11"/>
  <c r="C48" i="11"/>
  <c r="B48" i="11"/>
  <c r="D48" i="11" s="1"/>
  <c r="D47" i="11"/>
  <c r="D46" i="11"/>
  <c r="D45" i="11"/>
  <c r="D44" i="11"/>
  <c r="D43" i="11"/>
  <c r="D42" i="11"/>
  <c r="C39" i="11"/>
  <c r="B39" i="11"/>
  <c r="D39" i="11" s="1"/>
  <c r="D38" i="11"/>
  <c r="D37" i="11"/>
  <c r="D36" i="11"/>
  <c r="D35" i="11"/>
  <c r="D34" i="11"/>
  <c r="D31" i="11"/>
  <c r="D30" i="11"/>
  <c r="C28" i="11"/>
  <c r="B28" i="11"/>
  <c r="D28" i="11" s="1"/>
  <c r="D27" i="11"/>
  <c r="D26" i="11"/>
  <c r="D25" i="11"/>
  <c r="C22" i="11"/>
  <c r="B22" i="11"/>
  <c r="D22" i="11" s="1"/>
  <c r="D21" i="11"/>
  <c r="D20" i="11"/>
  <c r="D19" i="11"/>
  <c r="D18" i="11"/>
  <c r="D17" i="11"/>
  <c r="C14" i="11"/>
  <c r="B14" i="11"/>
  <c r="D14" i="11" s="1"/>
  <c r="D13" i="11"/>
  <c r="D12" i="11"/>
  <c r="D11" i="11"/>
  <c r="D10" i="11"/>
  <c r="D9" i="11"/>
  <c r="D8" i="11"/>
  <c r="C5" i="11"/>
  <c r="C59" i="11" s="1"/>
  <c r="B5" i="11"/>
  <c r="C4" i="11"/>
  <c r="C54" i="11" s="1"/>
  <c r="B4" i="11"/>
  <c r="M8" i="10"/>
  <c r="L8" i="10"/>
  <c r="K8" i="10"/>
  <c r="J8" i="10"/>
  <c r="I8" i="10"/>
  <c r="H8" i="10"/>
  <c r="G8" i="10"/>
  <c r="F8" i="10"/>
  <c r="E8" i="10"/>
  <c r="D8" i="10"/>
  <c r="C8" i="10"/>
  <c r="B8" i="10"/>
  <c r="N8" i="10" s="1"/>
  <c r="M5" i="10"/>
  <c r="L5" i="10"/>
  <c r="K5" i="10"/>
  <c r="J5" i="10"/>
  <c r="I5" i="10"/>
  <c r="H5" i="10"/>
  <c r="G5" i="10"/>
  <c r="F5" i="10"/>
  <c r="E5" i="10"/>
  <c r="D5" i="10"/>
  <c r="C5" i="10"/>
  <c r="B5" i="10"/>
  <c r="N5" i="10" s="1"/>
  <c r="M4" i="10"/>
  <c r="L4" i="10"/>
  <c r="K4" i="10"/>
  <c r="J4" i="10"/>
  <c r="I4" i="10"/>
  <c r="H4" i="10"/>
  <c r="G4" i="10"/>
  <c r="F4" i="10"/>
  <c r="E4" i="10"/>
  <c r="D4" i="10"/>
  <c r="C4" i="10"/>
  <c r="B4" i="10"/>
  <c r="N4" i="10" s="1"/>
  <c r="K23" i="9"/>
  <c r="J23" i="9"/>
  <c r="I23" i="9"/>
  <c r="K30" i="8"/>
  <c r="K19" i="9" s="1"/>
  <c r="J30" i="8"/>
  <c r="J19" i="9" s="1"/>
  <c r="I30" i="8"/>
  <c r="I19" i="9" s="1"/>
  <c r="H30" i="8"/>
  <c r="H19" i="9" s="1"/>
  <c r="G30" i="8"/>
  <c r="G19" i="9" s="1"/>
  <c r="F30" i="8"/>
  <c r="F19" i="9" s="1"/>
  <c r="E30" i="8"/>
  <c r="E19" i="9" s="1"/>
  <c r="D30" i="8"/>
  <c r="D19" i="9" s="1"/>
  <c r="C30" i="8"/>
  <c r="C19" i="9" s="1"/>
  <c r="B30" i="8"/>
  <c r="B19" i="9" s="1"/>
  <c r="B29" i="8"/>
  <c r="B18" i="9" s="1"/>
  <c r="B5" i="8"/>
  <c r="L23" i="7"/>
  <c r="L22" i="7"/>
  <c r="B22" i="7"/>
  <c r="L21" i="7"/>
  <c r="B21" i="7"/>
  <c r="L20" i="7"/>
  <c r="L19" i="7"/>
  <c r="L18" i="7"/>
  <c r="L8" i="7"/>
  <c r="L7" i="7"/>
  <c r="L6" i="7"/>
  <c r="L5" i="7"/>
  <c r="K9" i="6"/>
  <c r="J9" i="6"/>
  <c r="I9" i="6"/>
  <c r="H9" i="6"/>
  <c r="G9" i="6"/>
  <c r="F9" i="6"/>
  <c r="E9" i="6"/>
  <c r="D9" i="6"/>
  <c r="C9" i="6"/>
  <c r="B9" i="6"/>
  <c r="L68" i="5"/>
  <c r="L67" i="5"/>
  <c r="L66" i="5"/>
  <c r="L65" i="5"/>
  <c r="K40" i="5"/>
  <c r="J40" i="5"/>
  <c r="I40" i="5"/>
  <c r="H40" i="5"/>
  <c r="G40" i="5"/>
  <c r="F40" i="5"/>
  <c r="E40" i="5"/>
  <c r="D40" i="5"/>
  <c r="C40" i="5"/>
  <c r="B40" i="5"/>
  <c r="K4" i="5"/>
  <c r="J4" i="5"/>
  <c r="I4" i="5"/>
  <c r="H4" i="5"/>
  <c r="G4" i="5"/>
  <c r="F4" i="5"/>
  <c r="E4" i="5"/>
  <c r="D4" i="5"/>
  <c r="C4" i="5"/>
  <c r="B4" i="5"/>
  <c r="B5" i="4"/>
  <c r="C5" i="4" s="1"/>
  <c r="B317" i="2"/>
  <c r="B314" i="2"/>
  <c r="B300" i="2"/>
  <c r="C280" i="2"/>
  <c r="B280" i="2"/>
  <c r="C279" i="2"/>
  <c r="C278" i="2"/>
  <c r="C277" i="2"/>
  <c r="B270" i="2"/>
  <c r="B262" i="2"/>
  <c r="K250" i="2"/>
  <c r="K45" i="15" s="1"/>
  <c r="J250" i="2"/>
  <c r="J45" i="15" s="1"/>
  <c r="I250" i="2"/>
  <c r="I45" i="15" s="1"/>
  <c r="H250" i="2"/>
  <c r="H45" i="15" s="1"/>
  <c r="G250" i="2"/>
  <c r="G45" i="15" s="1"/>
  <c r="F250" i="2"/>
  <c r="F45" i="15" s="1"/>
  <c r="E250" i="2"/>
  <c r="E45" i="15" s="1"/>
  <c r="D250" i="2"/>
  <c r="D45" i="15" s="1"/>
  <c r="C250" i="2"/>
  <c r="C45" i="15" s="1"/>
  <c r="B250" i="2"/>
  <c r="B45" i="15" s="1"/>
  <c r="N236" i="2"/>
  <c r="N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B228" i="2"/>
  <c r="C217" i="2"/>
  <c r="C218" i="2" s="1"/>
  <c r="H200" i="2" s="1"/>
  <c r="B217" i="2"/>
  <c r="B218" i="2" s="1"/>
  <c r="G200" i="2" s="1"/>
  <c r="I200" i="2" s="1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H201" i="2"/>
  <c r="C219" i="2" s="1"/>
  <c r="G201" i="2"/>
  <c r="B219" i="2" s="1"/>
  <c r="D201" i="2"/>
  <c r="D200" i="2"/>
  <c r="H199" i="2"/>
  <c r="G199" i="2"/>
  <c r="I199" i="2" s="1"/>
  <c r="D199" i="2"/>
  <c r="D198" i="2"/>
  <c r="D197" i="2"/>
  <c r="H196" i="2"/>
  <c r="G196" i="2"/>
  <c r="I196" i="2" s="1"/>
  <c r="D196" i="2"/>
  <c r="I195" i="2"/>
  <c r="H195" i="2"/>
  <c r="G195" i="2"/>
  <c r="D195" i="2"/>
  <c r="H194" i="2"/>
  <c r="G194" i="2"/>
  <c r="I194" i="2" s="1"/>
  <c r="D194" i="2"/>
  <c r="L182" i="2"/>
  <c r="L189" i="2" s="1"/>
  <c r="K182" i="2"/>
  <c r="K189" i="2" s="1"/>
  <c r="J182" i="2"/>
  <c r="J189" i="2" s="1"/>
  <c r="I182" i="2"/>
  <c r="I189" i="2" s="1"/>
  <c r="H182" i="2"/>
  <c r="H189" i="2" s="1"/>
  <c r="G182" i="2"/>
  <c r="G189" i="2" s="1"/>
  <c r="F182" i="2"/>
  <c r="F189" i="2" s="1"/>
  <c r="E182" i="2"/>
  <c r="E189" i="2" s="1"/>
  <c r="D182" i="2"/>
  <c r="D189" i="2" s="1"/>
  <c r="C182" i="2"/>
  <c r="C189" i="2" s="1"/>
  <c r="B182" i="2"/>
  <c r="B189" i="2" s="1"/>
  <c r="L181" i="2"/>
  <c r="L188" i="2" s="1"/>
  <c r="K181" i="2"/>
  <c r="K188" i="2" s="1"/>
  <c r="J181" i="2"/>
  <c r="J188" i="2" s="1"/>
  <c r="I181" i="2"/>
  <c r="I188" i="2" s="1"/>
  <c r="H181" i="2"/>
  <c r="H188" i="2" s="1"/>
  <c r="G181" i="2"/>
  <c r="G188" i="2" s="1"/>
  <c r="F181" i="2"/>
  <c r="F188" i="2" s="1"/>
  <c r="E181" i="2"/>
  <c r="E188" i="2" s="1"/>
  <c r="D181" i="2"/>
  <c r="D188" i="2" s="1"/>
  <c r="C181" i="2"/>
  <c r="C188" i="2" s="1"/>
  <c r="B181" i="2"/>
  <c r="B188" i="2" s="1"/>
  <c r="L180" i="2"/>
  <c r="L187" i="2" s="1"/>
  <c r="K180" i="2"/>
  <c r="K187" i="2" s="1"/>
  <c r="J180" i="2"/>
  <c r="J187" i="2" s="1"/>
  <c r="I180" i="2"/>
  <c r="I187" i="2" s="1"/>
  <c r="H180" i="2"/>
  <c r="H187" i="2" s="1"/>
  <c r="G180" i="2"/>
  <c r="G187" i="2" s="1"/>
  <c r="F180" i="2"/>
  <c r="F187" i="2" s="1"/>
  <c r="E180" i="2"/>
  <c r="E187" i="2" s="1"/>
  <c r="D180" i="2"/>
  <c r="D187" i="2" s="1"/>
  <c r="C180" i="2"/>
  <c r="C187" i="2" s="1"/>
  <c r="B180" i="2"/>
  <c r="B187" i="2" s="1"/>
  <c r="L179" i="2"/>
  <c r="L186" i="2" s="1"/>
  <c r="K179" i="2"/>
  <c r="K186" i="2" s="1"/>
  <c r="J179" i="2"/>
  <c r="J186" i="2" s="1"/>
  <c r="I179" i="2"/>
  <c r="I186" i="2" s="1"/>
  <c r="H179" i="2"/>
  <c r="H186" i="2" s="1"/>
  <c r="G179" i="2"/>
  <c r="G186" i="2" s="1"/>
  <c r="F179" i="2"/>
  <c r="F186" i="2" s="1"/>
  <c r="E179" i="2"/>
  <c r="E186" i="2" s="1"/>
  <c r="D179" i="2"/>
  <c r="D186" i="2" s="1"/>
  <c r="C179" i="2"/>
  <c r="C186" i="2" s="1"/>
  <c r="B179" i="2"/>
  <c r="B186" i="2" s="1"/>
  <c r="L178" i="2"/>
  <c r="K178" i="2"/>
  <c r="J178" i="2"/>
  <c r="I178" i="2"/>
  <c r="H178" i="2"/>
  <c r="G178" i="2"/>
  <c r="F178" i="2"/>
  <c r="E178" i="2"/>
  <c r="D178" i="2"/>
  <c r="C178" i="2"/>
  <c r="B178" i="2"/>
  <c r="L176" i="2"/>
  <c r="K176" i="2"/>
  <c r="J176" i="2"/>
  <c r="I176" i="2"/>
  <c r="H176" i="2"/>
  <c r="G176" i="2"/>
  <c r="F176" i="2"/>
  <c r="E176" i="2"/>
  <c r="D176" i="2"/>
  <c r="C176" i="2"/>
  <c r="C145" i="2"/>
  <c r="E145" i="2" s="1"/>
  <c r="D144" i="2"/>
  <c r="C144" i="2"/>
  <c r="E144" i="2" s="1"/>
  <c r="C143" i="2"/>
  <c r="E143" i="2" s="1"/>
  <c r="C142" i="2"/>
  <c r="E142" i="2" s="1"/>
  <c r="D141" i="2"/>
  <c r="C141" i="2"/>
  <c r="E141" i="2" s="1"/>
  <c r="C140" i="2"/>
  <c r="B125" i="2"/>
  <c r="D119" i="2"/>
  <c r="D118" i="2"/>
  <c r="D117" i="2"/>
  <c r="D116" i="2"/>
  <c r="D115" i="2"/>
  <c r="D114" i="2"/>
  <c r="C99" i="2"/>
  <c r="B99" i="2"/>
  <c r="D99" i="2" s="1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G44" i="2"/>
  <c r="F44" i="2"/>
  <c r="C43" i="2"/>
  <c r="B43" i="2"/>
  <c r="D43" i="2" s="1"/>
  <c r="C42" i="2"/>
  <c r="B42" i="2"/>
  <c r="D42" i="2" s="1"/>
  <c r="C41" i="2"/>
  <c r="B41" i="2"/>
  <c r="D41" i="2" s="1"/>
  <c r="C40" i="2"/>
  <c r="B40" i="2"/>
  <c r="D40" i="2" s="1"/>
  <c r="C39" i="2"/>
  <c r="C44" i="2" s="1"/>
  <c r="B39" i="2"/>
  <c r="G35" i="2"/>
  <c r="F35" i="2"/>
  <c r="D26" i="2"/>
  <c r="D25" i="2"/>
  <c r="D24" i="2"/>
  <c r="C23" i="2"/>
  <c r="B23" i="2"/>
  <c r="D23" i="2" s="1"/>
  <c r="D22" i="2"/>
  <c r="D21" i="2"/>
  <c r="D20" i="2"/>
  <c r="D19" i="2"/>
  <c r="D18" i="2"/>
  <c r="C17" i="2"/>
  <c r="B17" i="2"/>
  <c r="D17" i="2" s="1"/>
  <c r="D16" i="2"/>
  <c r="C15" i="2"/>
  <c r="B15" i="2"/>
  <c r="D14" i="2"/>
  <c r="D13" i="2"/>
  <c r="D12" i="2"/>
  <c r="C11" i="2"/>
  <c r="B11" i="2"/>
  <c r="D11" i="2" s="1"/>
  <c r="D10" i="2"/>
  <c r="D9" i="2"/>
  <c r="B42" i="1"/>
  <c r="C42" i="1" s="1"/>
  <c r="B30" i="1"/>
  <c r="B21" i="1"/>
  <c r="B7" i="1"/>
  <c r="B6" i="1"/>
  <c r="B5" i="1"/>
  <c r="A2" i="1"/>
  <c r="B93" i="15" l="1"/>
  <c r="D128" i="12"/>
  <c r="D119" i="12"/>
  <c r="B59" i="11"/>
  <c r="D5" i="11"/>
  <c r="C55" i="11"/>
  <c r="C56" i="11"/>
  <c r="C60" i="11" s="1"/>
  <c r="C61" i="11" s="1"/>
  <c r="B54" i="11"/>
  <c r="D4" i="11"/>
  <c r="B16" i="10"/>
  <c r="C16" i="10"/>
  <c r="D16" i="10"/>
  <c r="E16" i="10"/>
  <c r="F16" i="10"/>
  <c r="G16" i="10"/>
  <c r="H16" i="10"/>
  <c r="I16" i="10"/>
  <c r="J16" i="10"/>
  <c r="K16" i="10"/>
  <c r="L16" i="10"/>
  <c r="M16" i="10"/>
  <c r="D5" i="4"/>
  <c r="C5" i="8"/>
  <c r="C29" i="8" s="1"/>
  <c r="C18" i="9" s="1"/>
  <c r="B303" i="2"/>
  <c r="B304" i="2"/>
  <c r="B305" i="2"/>
  <c r="B306" i="2"/>
  <c r="B307" i="2"/>
  <c r="B281" i="2"/>
  <c r="B282" i="2"/>
  <c r="K43" i="15"/>
  <c r="E43" i="15"/>
  <c r="D43" i="15"/>
  <c r="C43" i="15"/>
  <c r="G43" i="15"/>
  <c r="H43" i="15"/>
  <c r="I43" i="15"/>
  <c r="B43" i="15"/>
  <c r="J43" i="15"/>
  <c r="F43" i="15"/>
  <c r="B20" i="8"/>
  <c r="C228" i="2"/>
  <c r="B29" i="15"/>
  <c r="D219" i="2"/>
  <c r="D217" i="2"/>
  <c r="D218" i="2" s="1"/>
  <c r="L120" i="15"/>
  <c r="K120" i="15"/>
  <c r="J120" i="15"/>
  <c r="I120" i="15"/>
  <c r="H120" i="15"/>
  <c r="G120" i="15"/>
  <c r="F120" i="15"/>
  <c r="E120" i="15"/>
  <c r="D120" i="15"/>
  <c r="C120" i="15"/>
  <c r="L119" i="15"/>
  <c r="K119" i="15"/>
  <c r="J119" i="15"/>
  <c r="I119" i="15"/>
  <c r="H119" i="15"/>
  <c r="G119" i="15"/>
  <c r="F119" i="15"/>
  <c r="E119" i="15"/>
  <c r="D119" i="15"/>
  <c r="C119" i="15"/>
  <c r="L118" i="15"/>
  <c r="K118" i="15"/>
  <c r="J118" i="15"/>
  <c r="I118" i="15"/>
  <c r="H118" i="15"/>
  <c r="G118" i="15"/>
  <c r="F118" i="15"/>
  <c r="E118" i="15"/>
  <c r="D118" i="15"/>
  <c r="C118" i="15"/>
  <c r="L117" i="15"/>
  <c r="K117" i="15"/>
  <c r="J117" i="15"/>
  <c r="I117" i="15"/>
  <c r="H117" i="15"/>
  <c r="G117" i="15"/>
  <c r="F117" i="15"/>
  <c r="E117" i="15"/>
  <c r="D117" i="15"/>
  <c r="C117" i="15"/>
  <c r="L183" i="2"/>
  <c r="L185" i="2"/>
  <c r="L190" i="2" s="1"/>
  <c r="K183" i="2"/>
  <c r="K185" i="2"/>
  <c r="K190" i="2" s="1"/>
  <c r="J185" i="2"/>
  <c r="J190" i="2" s="1"/>
  <c r="J183" i="2"/>
  <c r="I183" i="2"/>
  <c r="I185" i="2"/>
  <c r="I190" i="2" s="1"/>
  <c r="H185" i="2"/>
  <c r="H190" i="2" s="1"/>
  <c r="H183" i="2"/>
  <c r="G185" i="2"/>
  <c r="G190" i="2" s="1"/>
  <c r="G183" i="2"/>
  <c r="F185" i="2"/>
  <c r="F190" i="2" s="1"/>
  <c r="F183" i="2"/>
  <c r="E183" i="2"/>
  <c r="E185" i="2"/>
  <c r="E190" i="2" s="1"/>
  <c r="D185" i="2"/>
  <c r="D190" i="2" s="1"/>
  <c r="D183" i="2"/>
  <c r="C183" i="2"/>
  <c r="C185" i="2"/>
  <c r="C190" i="2" s="1"/>
  <c r="B185" i="2"/>
  <c r="B190" i="2" s="1"/>
  <c r="B183" i="2"/>
  <c r="B23" i="7"/>
  <c r="C23" i="7"/>
  <c r="D23" i="7"/>
  <c r="E23" i="7"/>
  <c r="F23" i="7"/>
  <c r="G23" i="7"/>
  <c r="H23" i="7"/>
  <c r="I23" i="7"/>
  <c r="J23" i="7"/>
  <c r="K23" i="7"/>
  <c r="C22" i="7"/>
  <c r="D22" i="7"/>
  <c r="E22" i="7"/>
  <c r="F22" i="7"/>
  <c r="G22" i="7"/>
  <c r="H22" i="7"/>
  <c r="I22" i="7"/>
  <c r="J22" i="7"/>
  <c r="K22" i="7"/>
  <c r="C21" i="7"/>
  <c r="D21" i="7"/>
  <c r="E21" i="7"/>
  <c r="F21" i="7"/>
  <c r="G21" i="7"/>
  <c r="H21" i="7"/>
  <c r="I21" i="7"/>
  <c r="J21" i="7"/>
  <c r="K21" i="7"/>
  <c r="B20" i="7"/>
  <c r="C20" i="7"/>
  <c r="D20" i="7"/>
  <c r="E20" i="7"/>
  <c r="F20" i="7"/>
  <c r="G20" i="7"/>
  <c r="H20" i="7"/>
  <c r="I20" i="7"/>
  <c r="J20" i="7"/>
  <c r="K20" i="7"/>
  <c r="B19" i="7"/>
  <c r="C19" i="7"/>
  <c r="D19" i="7"/>
  <c r="E19" i="7"/>
  <c r="F19" i="7"/>
  <c r="G19" i="7"/>
  <c r="H19" i="7"/>
  <c r="I19" i="7"/>
  <c r="J19" i="7"/>
  <c r="K19" i="7"/>
  <c r="E140" i="2"/>
  <c r="C146" i="2"/>
  <c r="B27" i="8"/>
  <c r="B16" i="9" s="1"/>
  <c r="C27" i="8"/>
  <c r="C16" i="9" s="1"/>
  <c r="B94" i="15"/>
  <c r="C94" i="15"/>
  <c r="D94" i="15"/>
  <c r="B44" i="2"/>
  <c r="D44" i="2" s="1"/>
  <c r="D39" i="2"/>
  <c r="D15" i="2"/>
  <c r="C34" i="2"/>
  <c r="B34" i="2"/>
  <c r="D34" i="2" s="1"/>
  <c r="C33" i="2"/>
  <c r="B33" i="2"/>
  <c r="D33" i="2" s="1"/>
  <c r="C32" i="2"/>
  <c r="B32" i="2"/>
  <c r="D32" i="2" s="1"/>
  <c r="C31" i="2"/>
  <c r="B31" i="2"/>
  <c r="D31" i="2" s="1"/>
  <c r="C30" i="2"/>
  <c r="C35" i="2" s="1"/>
  <c r="B30" i="2"/>
  <c r="E128" i="12" l="1"/>
  <c r="E119" i="12"/>
  <c r="D59" i="11"/>
  <c r="D54" i="11"/>
  <c r="B55" i="11"/>
  <c r="D55" i="11" s="1"/>
  <c r="B56" i="11"/>
  <c r="E5" i="4"/>
  <c r="D5" i="8"/>
  <c r="B286" i="2"/>
  <c r="B287" i="2"/>
  <c r="D228" i="2"/>
  <c r="C29" i="15"/>
  <c r="K70" i="5"/>
  <c r="K37" i="5"/>
  <c r="L166" i="2"/>
  <c r="J70" i="5"/>
  <c r="K225" i="2"/>
  <c r="J37" i="5"/>
  <c r="K21" i="15"/>
  <c r="K166" i="2"/>
  <c r="J225" i="2"/>
  <c r="I37" i="5"/>
  <c r="J21" i="15"/>
  <c r="J166" i="2"/>
  <c r="I70" i="5"/>
  <c r="H70" i="5"/>
  <c r="I225" i="2"/>
  <c r="H37" i="5"/>
  <c r="I21" i="15"/>
  <c r="I166" i="2"/>
  <c r="H225" i="2"/>
  <c r="G37" i="5"/>
  <c r="H21" i="15"/>
  <c r="H166" i="2"/>
  <c r="G70" i="5"/>
  <c r="G225" i="2"/>
  <c r="F37" i="5"/>
  <c r="G21" i="15"/>
  <c r="G166" i="2"/>
  <c r="F70" i="5"/>
  <c r="F225" i="2"/>
  <c r="E37" i="5"/>
  <c r="F21" i="15"/>
  <c r="F166" i="2"/>
  <c r="E70" i="5"/>
  <c r="D70" i="5"/>
  <c r="E225" i="2"/>
  <c r="D37" i="5"/>
  <c r="E21" i="15"/>
  <c r="E166" i="2"/>
  <c r="D225" i="2"/>
  <c r="C37" i="5"/>
  <c r="D21" i="15"/>
  <c r="D166" i="2"/>
  <c r="C70" i="5"/>
  <c r="B70" i="5"/>
  <c r="C225" i="2"/>
  <c r="B37" i="5"/>
  <c r="C21" i="15"/>
  <c r="C166" i="2"/>
  <c r="B225" i="2"/>
  <c r="B21" i="15"/>
  <c r="E146" i="2"/>
  <c r="B18" i="7"/>
  <c r="B24" i="7" s="1"/>
  <c r="C18" i="7"/>
  <c r="C24" i="7" s="1"/>
  <c r="D18" i="7"/>
  <c r="D24" i="7" s="1"/>
  <c r="E18" i="7"/>
  <c r="E24" i="7" s="1"/>
  <c r="F18" i="7"/>
  <c r="F24" i="7" s="1"/>
  <c r="G18" i="7"/>
  <c r="G24" i="7" s="1"/>
  <c r="H18" i="7"/>
  <c r="H24" i="7" s="1"/>
  <c r="I18" i="7"/>
  <c r="I24" i="7" s="1"/>
  <c r="J18" i="7"/>
  <c r="J24" i="7" s="1"/>
  <c r="K18" i="7"/>
  <c r="K24" i="7" s="1"/>
  <c r="B14" i="10"/>
  <c r="C14" i="10"/>
  <c r="D14" i="10"/>
  <c r="E14" i="10"/>
  <c r="F14" i="10"/>
  <c r="G14" i="10"/>
  <c r="H14" i="10"/>
  <c r="I14" i="10"/>
  <c r="J14" i="10"/>
  <c r="K14" i="10"/>
  <c r="L14" i="10"/>
  <c r="M14" i="10"/>
  <c r="C160" i="2"/>
  <c r="C161" i="2" s="1"/>
  <c r="B229" i="2" s="1"/>
  <c r="D160" i="2"/>
  <c r="E160" i="2"/>
  <c r="F160" i="2"/>
  <c r="G160" i="2"/>
  <c r="H160" i="2"/>
  <c r="I160" i="2"/>
  <c r="J160" i="2"/>
  <c r="K160" i="2"/>
  <c r="L160" i="2"/>
  <c r="B38" i="5"/>
  <c r="C38" i="5"/>
  <c r="D38" i="5"/>
  <c r="E38" i="5"/>
  <c r="F38" i="5"/>
  <c r="G38" i="5"/>
  <c r="H38" i="5"/>
  <c r="I38" i="5"/>
  <c r="J38" i="5"/>
  <c r="K38" i="5"/>
  <c r="B32" i="5"/>
  <c r="C32" i="5"/>
  <c r="D32" i="5"/>
  <c r="E32" i="5"/>
  <c r="F32" i="5"/>
  <c r="G32" i="5"/>
  <c r="H32" i="5"/>
  <c r="I32" i="5"/>
  <c r="J32" i="5"/>
  <c r="K32" i="5"/>
  <c r="D30" i="2"/>
  <c r="B35" i="2"/>
  <c r="D35" i="2" s="1"/>
  <c r="N16" i="10"/>
  <c r="B308" i="2"/>
  <c r="B33" i="15"/>
  <c r="B288" i="2"/>
  <c r="B285" i="2"/>
  <c r="B34" i="15"/>
  <c r="F128" i="12" l="1"/>
  <c r="F119" i="12"/>
  <c r="B23" i="9"/>
  <c r="C23" i="9"/>
  <c r="D23" i="9"/>
  <c r="E23" i="9"/>
  <c r="F23" i="9"/>
  <c r="G23" i="9"/>
  <c r="H23" i="9"/>
  <c r="D56" i="11"/>
  <c r="B60" i="11"/>
  <c r="E94" i="15"/>
  <c r="F5" i="4"/>
  <c r="E5" i="8"/>
  <c r="D27" i="8"/>
  <c r="D16" i="9" s="1"/>
  <c r="D29" i="8"/>
  <c r="D18" i="9" s="1"/>
  <c r="E228" i="2"/>
  <c r="D29" i="15"/>
  <c r="B28" i="7"/>
  <c r="B26" i="8"/>
  <c r="B12" i="9" s="1"/>
  <c r="C28" i="7"/>
  <c r="C26" i="8"/>
  <c r="C12" i="9" s="1"/>
  <c r="D28" i="7"/>
  <c r="D26" i="8"/>
  <c r="D12" i="9" s="1"/>
  <c r="D42" i="14" s="1"/>
  <c r="E28" i="7"/>
  <c r="E26" i="8"/>
  <c r="E12" i="9" s="1"/>
  <c r="F28" i="7"/>
  <c r="F26" i="8"/>
  <c r="F12" i="9" s="1"/>
  <c r="E42" i="14" s="1"/>
  <c r="G28" i="7"/>
  <c r="G26" i="8"/>
  <c r="G12" i="9" s="1"/>
  <c r="H28" i="7"/>
  <c r="H26" i="8"/>
  <c r="H12" i="9" s="1"/>
  <c r="I28" i="7"/>
  <c r="I26" i="8"/>
  <c r="I12" i="9" s="1"/>
  <c r="J28" i="7"/>
  <c r="J26" i="8"/>
  <c r="J12" i="9" s="1"/>
  <c r="K28" i="7"/>
  <c r="K26" i="8"/>
  <c r="K12" i="9" s="1"/>
  <c r="B230" i="2"/>
  <c r="B30" i="15"/>
  <c r="B58" i="5"/>
  <c r="B59" i="5"/>
  <c r="B31" i="5"/>
  <c r="C31" i="5"/>
  <c r="D31" i="5"/>
  <c r="E31" i="5"/>
  <c r="F31" i="5"/>
  <c r="G31" i="5"/>
  <c r="H31" i="5"/>
  <c r="I31" i="5"/>
  <c r="J31" i="5"/>
  <c r="K31" i="5"/>
  <c r="B150" i="2"/>
  <c r="B5" i="15"/>
  <c r="B6" i="15" s="1"/>
  <c r="C5" i="15"/>
  <c r="C6" i="15" s="1"/>
  <c r="D5" i="15"/>
  <c r="D6" i="15" s="1"/>
  <c r="E5" i="15"/>
  <c r="E6" i="15" s="1"/>
  <c r="F5" i="15"/>
  <c r="F6" i="15" s="1"/>
  <c r="G5" i="15"/>
  <c r="G6" i="15" s="1"/>
  <c r="H5" i="15"/>
  <c r="H6" i="15" s="1"/>
  <c r="I5" i="15"/>
  <c r="I6" i="15" s="1"/>
  <c r="J5" i="15"/>
  <c r="J6" i="15" s="1"/>
  <c r="K5" i="15"/>
  <c r="K6" i="15" s="1"/>
  <c r="L5" i="15"/>
  <c r="L6" i="15" s="1"/>
  <c r="M5" i="15"/>
  <c r="M6" i="15" s="1"/>
  <c r="B325" i="2"/>
  <c r="B289" i="2"/>
  <c r="N14" i="10"/>
  <c r="G128" i="12" l="1"/>
  <c r="G119" i="12"/>
  <c r="B21" i="10"/>
  <c r="C21" i="10"/>
  <c r="D21" i="10"/>
  <c r="E21" i="10"/>
  <c r="F21" i="10"/>
  <c r="G21" i="10"/>
  <c r="H21" i="10"/>
  <c r="I21" i="10"/>
  <c r="J21" i="10"/>
  <c r="K21" i="10"/>
  <c r="L21" i="10"/>
  <c r="M21" i="10"/>
  <c r="B4" i="12"/>
  <c r="B7" i="12" s="1"/>
  <c r="B4" i="14"/>
  <c r="B41" i="12"/>
  <c r="B43" i="12" s="1"/>
  <c r="B8" i="1"/>
  <c r="B9" i="13"/>
  <c r="B61" i="11"/>
  <c r="D60" i="11"/>
  <c r="D61" i="11" s="1"/>
  <c r="F94" i="15"/>
  <c r="G5" i="4"/>
  <c r="F5" i="8"/>
  <c r="E27" i="8"/>
  <c r="E16" i="9" s="1"/>
  <c r="E29" i="8"/>
  <c r="E18" i="9" s="1"/>
  <c r="F228" i="2"/>
  <c r="E29" i="15"/>
  <c r="B13" i="10"/>
  <c r="C13" i="10"/>
  <c r="D13" i="10"/>
  <c r="E13" i="10"/>
  <c r="F13" i="10"/>
  <c r="G13" i="10"/>
  <c r="H13" i="10"/>
  <c r="I13" i="10"/>
  <c r="J13" i="10"/>
  <c r="K13" i="10"/>
  <c r="L13" i="10"/>
  <c r="M13" i="10"/>
  <c r="B26" i="15"/>
  <c r="B241" i="2"/>
  <c r="B243" i="2" s="1"/>
  <c r="B244" i="2" s="1"/>
  <c r="B231" i="2"/>
  <c r="B31" i="15"/>
  <c r="B92" i="15"/>
  <c r="B35" i="15"/>
  <c r="B7" i="15"/>
  <c r="B8" i="15" s="1"/>
  <c r="B15" i="15" s="1"/>
  <c r="B17" i="15" s="1"/>
  <c r="B9" i="15"/>
  <c r="B10" i="15" s="1"/>
  <c r="C7" i="15"/>
  <c r="C8" i="15" s="1"/>
  <c r="C15" i="15" s="1"/>
  <c r="C17" i="15" s="1"/>
  <c r="C9" i="15"/>
  <c r="C10" i="15" s="1"/>
  <c r="D7" i="15"/>
  <c r="D8" i="15" s="1"/>
  <c r="D15" i="15" s="1"/>
  <c r="D17" i="15" s="1"/>
  <c r="D9" i="15"/>
  <c r="D10" i="15" s="1"/>
  <c r="E7" i="15"/>
  <c r="E8" i="15" s="1"/>
  <c r="E15" i="15" s="1"/>
  <c r="E17" i="15" s="1"/>
  <c r="E9" i="15"/>
  <c r="E10" i="15" s="1"/>
  <c r="F7" i="15"/>
  <c r="F8" i="15" s="1"/>
  <c r="F15" i="15" s="1"/>
  <c r="F17" i="15" s="1"/>
  <c r="F9" i="15"/>
  <c r="F10" i="15" s="1"/>
  <c r="G7" i="15"/>
  <c r="G8" i="15" s="1"/>
  <c r="G15" i="15" s="1"/>
  <c r="G17" i="15" s="1"/>
  <c r="G9" i="15"/>
  <c r="G10" i="15" s="1"/>
  <c r="H7" i="15"/>
  <c r="H8" i="15" s="1"/>
  <c r="H15" i="15" s="1"/>
  <c r="H17" i="15" s="1"/>
  <c r="H9" i="15"/>
  <c r="H10" i="15" s="1"/>
  <c r="I7" i="15"/>
  <c r="I8" i="15" s="1"/>
  <c r="I15" i="15" s="1"/>
  <c r="I17" i="15" s="1"/>
  <c r="I9" i="15"/>
  <c r="I10" i="15" s="1"/>
  <c r="J7" i="15"/>
  <c r="J8" i="15" s="1"/>
  <c r="J15" i="15" s="1"/>
  <c r="J17" i="15" s="1"/>
  <c r="J9" i="15"/>
  <c r="J10" i="15" s="1"/>
  <c r="K7" i="15"/>
  <c r="K8" i="15" s="1"/>
  <c r="K15" i="15" s="1"/>
  <c r="K17" i="15" s="1"/>
  <c r="K9" i="15"/>
  <c r="K10" i="15" s="1"/>
  <c r="L7" i="15"/>
  <c r="L8" i="15" s="1"/>
  <c r="L15" i="15" s="1"/>
  <c r="L17" i="15" s="1"/>
  <c r="L9" i="15"/>
  <c r="L10" i="15" s="1"/>
  <c r="M7" i="15"/>
  <c r="M8" i="15" s="1"/>
  <c r="M15" i="15" s="1"/>
  <c r="M17" i="15" s="1"/>
  <c r="M9" i="15"/>
  <c r="M10" i="15" s="1"/>
  <c r="H128" i="12" l="1"/>
  <c r="H119" i="12"/>
  <c r="B8" i="12"/>
  <c r="B10" i="12"/>
  <c r="B11" i="12"/>
  <c r="B14" i="12"/>
  <c r="B15" i="12" s="1"/>
  <c r="B42" i="13"/>
  <c r="C21" i="14"/>
  <c r="C22" i="14"/>
  <c r="C23" i="14"/>
  <c r="C24" i="14"/>
  <c r="C25" i="14"/>
  <c r="C26" i="14"/>
  <c r="C27" i="14"/>
  <c r="B57" i="12"/>
  <c r="B62" i="12" s="1"/>
  <c r="B75" i="12"/>
  <c r="B81" i="12" s="1"/>
  <c r="B78" i="12"/>
  <c r="C78" i="12" s="1"/>
  <c r="B90" i="12"/>
  <c r="C90" i="12"/>
  <c r="G94" i="15"/>
  <c r="H5" i="4"/>
  <c r="G5" i="8"/>
  <c r="F27" i="8"/>
  <c r="F16" i="9" s="1"/>
  <c r="F29" i="8"/>
  <c r="F18" i="9" s="1"/>
  <c r="G228" i="2"/>
  <c r="F29" i="15"/>
  <c r="B240" i="2"/>
  <c r="B22" i="15"/>
  <c r="B36" i="15"/>
  <c r="B60" i="5"/>
  <c r="N21" i="10"/>
  <c r="N13" i="10"/>
  <c r="I128" i="12" l="1"/>
  <c r="I119" i="12"/>
  <c r="B63" i="12"/>
  <c r="B82" i="12"/>
  <c r="H94" i="15"/>
  <c r="I5" i="4"/>
  <c r="H5" i="8"/>
  <c r="G27" i="8"/>
  <c r="G16" i="9" s="1"/>
  <c r="G29" i="8"/>
  <c r="G18" i="9" s="1"/>
  <c r="H228" i="2"/>
  <c r="G29" i="15"/>
  <c r="B242" i="2"/>
  <c r="B17" i="6" s="1"/>
  <c r="C224" i="2"/>
  <c r="B23" i="15"/>
  <c r="B55" i="15"/>
  <c r="B61" i="15"/>
  <c r="B67" i="15"/>
  <c r="B73" i="15"/>
  <c r="B79" i="15"/>
  <c r="J128" i="12" l="1"/>
  <c r="J119" i="12"/>
  <c r="I94" i="15"/>
  <c r="J5" i="4"/>
  <c r="I5" i="8"/>
  <c r="H27" i="8"/>
  <c r="H16" i="9" s="1"/>
  <c r="H29" i="8"/>
  <c r="H18" i="9" s="1"/>
  <c r="I228" i="2"/>
  <c r="H29" i="15"/>
  <c r="B59" i="15"/>
  <c r="B58" i="15"/>
  <c r="B57" i="15"/>
  <c r="B56" i="15"/>
  <c r="B85" i="15"/>
  <c r="C103" i="15"/>
  <c r="C110" i="15"/>
  <c r="B7" i="5"/>
  <c r="C226" i="2"/>
  <c r="D6" i="3"/>
  <c r="D7" i="3"/>
  <c r="D8" i="3"/>
  <c r="D9" i="3"/>
  <c r="B13" i="8" s="1"/>
  <c r="D10" i="3"/>
  <c r="B12" i="8" s="1"/>
  <c r="D21" i="3"/>
  <c r="B65" i="5"/>
  <c r="B69" i="5" s="1"/>
  <c r="B72" i="5" s="1"/>
  <c r="B65" i="15"/>
  <c r="B64" i="15"/>
  <c r="B63" i="15"/>
  <c r="B62" i="15"/>
  <c r="C104" i="15"/>
  <c r="C111" i="15"/>
  <c r="B12" i="5"/>
  <c r="D12" i="3"/>
  <c r="D13" i="3"/>
  <c r="D14" i="3"/>
  <c r="D15" i="3"/>
  <c r="D16" i="3"/>
  <c r="B66" i="5"/>
  <c r="B71" i="15"/>
  <c r="B70" i="15"/>
  <c r="B69" i="15"/>
  <c r="B68" i="15"/>
  <c r="C106" i="15"/>
  <c r="C113" i="15"/>
  <c r="B17" i="5"/>
  <c r="D18" i="3"/>
  <c r="D20" i="3"/>
  <c r="B67" i="5"/>
  <c r="B77" i="15"/>
  <c r="B76" i="15"/>
  <c r="B75" i="15"/>
  <c r="B74" i="15"/>
  <c r="D19" i="3"/>
  <c r="D22" i="3"/>
  <c r="B22" i="5"/>
  <c r="B83" i="15"/>
  <c r="B82" i="15"/>
  <c r="B81" i="15"/>
  <c r="B80" i="15"/>
  <c r="C105" i="15"/>
  <c r="C112" i="15"/>
  <c r="D24" i="3"/>
  <c r="B11" i="4" s="1"/>
  <c r="B26" i="5"/>
  <c r="B68" i="5"/>
  <c r="K128" i="12" l="1"/>
  <c r="K119" i="12"/>
  <c r="J94" i="15"/>
  <c r="K5" i="4"/>
  <c r="J5" i="8"/>
  <c r="I27" i="8"/>
  <c r="I16" i="9" s="1"/>
  <c r="I29" i="8"/>
  <c r="I18" i="9" s="1"/>
  <c r="J228" i="2"/>
  <c r="I29" i="15"/>
  <c r="B39" i="1"/>
  <c r="C39" i="1" s="1"/>
  <c r="B36" i="5"/>
  <c r="B61" i="5"/>
  <c r="B9" i="5"/>
  <c r="B8" i="5"/>
  <c r="B47" i="5"/>
  <c r="B52" i="5"/>
  <c r="C227" i="2"/>
  <c r="C27" i="15"/>
  <c r="B14" i="5"/>
  <c r="B13" i="5"/>
  <c r="B48" i="5"/>
  <c r="B19" i="5"/>
  <c r="B18" i="5"/>
  <c r="B49" i="5"/>
  <c r="B53" i="5"/>
  <c r="B24" i="5"/>
  <c r="B23" i="5"/>
  <c r="B50" i="5"/>
  <c r="B8" i="6"/>
  <c r="B16" i="6" s="1"/>
  <c r="B8" i="7"/>
  <c r="B10" i="8"/>
  <c r="B24" i="8"/>
  <c r="B28" i="5"/>
  <c r="B27" i="5"/>
  <c r="B51" i="5"/>
  <c r="B10" i="4"/>
  <c r="B88" i="15"/>
  <c r="B87" i="15"/>
  <c r="B86" i="15"/>
  <c r="B8" i="4"/>
  <c r="B9" i="4"/>
  <c r="L128" i="12" l="1"/>
  <c r="L119" i="12"/>
  <c r="K94" i="15"/>
  <c r="K5" i="8"/>
  <c r="J27" i="8"/>
  <c r="J16" i="9" s="1"/>
  <c r="J29" i="8"/>
  <c r="J18" i="9" s="1"/>
  <c r="K228" i="2"/>
  <c r="K29" i="15" s="1"/>
  <c r="J29" i="15"/>
  <c r="B42" i="5"/>
  <c r="B39" i="5"/>
  <c r="B54" i="5"/>
  <c r="B44" i="5"/>
  <c r="C33" i="15"/>
  <c r="C93" i="15"/>
  <c r="B23" i="8"/>
  <c r="B9" i="8"/>
  <c r="B7" i="7"/>
  <c r="B7" i="6"/>
  <c r="B15" i="6" s="1"/>
  <c r="B21" i="8"/>
  <c r="B8" i="8"/>
  <c r="B5" i="7"/>
  <c r="B5" i="6"/>
  <c r="B13" i="4"/>
  <c r="B45" i="5" s="1"/>
  <c r="B22" i="8"/>
  <c r="B11" i="8"/>
  <c r="B6" i="7"/>
  <c r="B6" i="6"/>
  <c r="B14" i="6" s="1"/>
  <c r="C28" i="15"/>
  <c r="D161" i="2"/>
  <c r="C229" i="2" s="1"/>
  <c r="C106" i="12" l="1"/>
  <c r="B106" i="12"/>
  <c r="K27" i="8"/>
  <c r="K16" i="9" s="1"/>
  <c r="K29" i="8"/>
  <c r="K18" i="9" s="1"/>
  <c r="B41" i="5"/>
  <c r="C162" i="2"/>
  <c r="C163" i="2" s="1"/>
  <c r="B41" i="1"/>
  <c r="C41" i="1" s="1"/>
  <c r="B40" i="1"/>
  <c r="C40" i="1" s="1"/>
  <c r="B43" i="5"/>
  <c r="C58" i="5"/>
  <c r="B10" i="6"/>
  <c r="B13" i="6"/>
  <c r="B18" i="6" s="1"/>
  <c r="B40" i="15"/>
  <c r="B36" i="1" s="1"/>
  <c r="C36" i="1" s="1"/>
  <c r="B95" i="15"/>
  <c r="B55" i="5"/>
  <c r="B36" i="6"/>
  <c r="B14" i="8"/>
  <c r="B15" i="8"/>
  <c r="B28" i="8"/>
  <c r="B17" i="9" s="1"/>
  <c r="C76" i="12"/>
  <c r="B4" i="9"/>
  <c r="C55" i="14"/>
  <c r="B96" i="15"/>
  <c r="B97" i="15"/>
  <c r="B25" i="1"/>
  <c r="C56" i="1"/>
  <c r="D56" i="1" s="1"/>
  <c r="B15" i="4"/>
  <c r="B220" i="2"/>
  <c r="C220" i="2"/>
  <c r="D220" i="2"/>
  <c r="C34" i="15"/>
  <c r="C59" i="5" s="1"/>
  <c r="C230" i="2"/>
  <c r="C30" i="15"/>
  <c r="B25" i="8"/>
  <c r="B16" i="8"/>
  <c r="B9" i="7"/>
  <c r="B15" i="7" s="1"/>
  <c r="B22" i="6" l="1"/>
  <c r="B25" i="6"/>
  <c r="B26" i="6"/>
  <c r="B27" i="6"/>
  <c r="B28" i="6"/>
  <c r="B29" i="6"/>
  <c r="B32" i="6"/>
  <c r="B21" i="6"/>
  <c r="B37" i="6"/>
  <c r="B41" i="15"/>
  <c r="B40" i="6"/>
  <c r="B18" i="8"/>
  <c r="B42" i="15"/>
  <c r="B15" i="10"/>
  <c r="C15" i="10"/>
  <c r="D15" i="10"/>
  <c r="E15" i="10"/>
  <c r="F15" i="10"/>
  <c r="G15" i="10"/>
  <c r="H15" i="10"/>
  <c r="I15" i="10"/>
  <c r="J15" i="10"/>
  <c r="K15" i="10"/>
  <c r="L15" i="10"/>
  <c r="M15" i="10"/>
  <c r="C77" i="12"/>
  <c r="C79" i="12" s="1"/>
  <c r="B6" i="10"/>
  <c r="C6" i="10"/>
  <c r="D6" i="10"/>
  <c r="E6" i="10"/>
  <c r="F6" i="10"/>
  <c r="G6" i="10"/>
  <c r="H6" i="10"/>
  <c r="I6" i="10"/>
  <c r="J6" i="10"/>
  <c r="K6" i="10"/>
  <c r="L6" i="10"/>
  <c r="M6" i="10"/>
  <c r="D55" i="14"/>
  <c r="C57" i="14"/>
  <c r="D57" i="14" s="1"/>
  <c r="C165" i="2"/>
  <c r="C167" i="2" s="1"/>
  <c r="C26" i="15"/>
  <c r="C241" i="2"/>
  <c r="C243" i="2" s="1"/>
  <c r="C244" i="2" s="1"/>
  <c r="C231" i="2"/>
  <c r="C31" i="15"/>
  <c r="C92" i="15"/>
  <c r="C35" i="15"/>
  <c r="B11" i="7"/>
  <c r="B11" i="9"/>
  <c r="B5" i="9"/>
  <c r="B7" i="9" s="1"/>
  <c r="B31" i="8"/>
  <c r="B27" i="7"/>
  <c r="B29" i="7" s="1"/>
  <c r="B12" i="7"/>
  <c r="B38" i="6" l="1"/>
  <c r="B41" i="6" s="1"/>
  <c r="B39" i="6"/>
  <c r="B32" i="1"/>
  <c r="B46" i="15"/>
  <c r="B47" i="15" s="1"/>
  <c r="B48" i="15"/>
  <c r="B19" i="8"/>
  <c r="B10" i="9"/>
  <c r="B37" i="1" s="1"/>
  <c r="C37" i="1" s="1"/>
  <c r="B50" i="15"/>
  <c r="B44" i="15"/>
  <c r="B49" i="15"/>
  <c r="B51" i="15"/>
  <c r="D78" i="12"/>
  <c r="C81" i="12"/>
  <c r="C82" i="12" s="1"/>
  <c r="C130" i="12"/>
  <c r="B8" i="9"/>
  <c r="B13" i="9"/>
  <c r="N6" i="10"/>
  <c r="B9" i="10"/>
  <c r="C9" i="10"/>
  <c r="C240" i="2"/>
  <c r="C22" i="15"/>
  <c r="C36" i="15"/>
  <c r="C60" i="5"/>
  <c r="B12" i="10"/>
  <c r="C12" i="10"/>
  <c r="D12" i="10"/>
  <c r="E12" i="10"/>
  <c r="F12" i="10"/>
  <c r="G12" i="10"/>
  <c r="H12" i="10"/>
  <c r="I12" i="10"/>
  <c r="J12" i="10"/>
  <c r="K12" i="10"/>
  <c r="L12" i="10"/>
  <c r="M12" i="10"/>
  <c r="B7" i="10"/>
  <c r="C7" i="10"/>
  <c r="D7" i="10"/>
  <c r="D9" i="10" s="1"/>
  <c r="E7" i="10"/>
  <c r="E9" i="10" s="1"/>
  <c r="F7" i="10"/>
  <c r="F9" i="10" s="1"/>
  <c r="G7" i="10"/>
  <c r="G9" i="10" s="1"/>
  <c r="H7" i="10"/>
  <c r="H9" i="10" s="1"/>
  <c r="I7" i="10"/>
  <c r="I9" i="10" s="1"/>
  <c r="J7" i="10"/>
  <c r="J9" i="10" s="1"/>
  <c r="K7" i="10"/>
  <c r="K9" i="10" s="1"/>
  <c r="L7" i="10"/>
  <c r="L9" i="10" s="1"/>
  <c r="M7" i="10"/>
  <c r="M9" i="10" s="1"/>
  <c r="B32" i="8"/>
  <c r="N15" i="10"/>
  <c r="B43" i="1" l="1"/>
  <c r="C43" i="1" s="1"/>
  <c r="G38" i="1"/>
  <c r="I38" i="1" s="1"/>
  <c r="C19" i="8"/>
  <c r="B11" i="10"/>
  <c r="B18" i="10" s="1"/>
  <c r="C11" i="10"/>
  <c r="C18" i="10" s="1"/>
  <c r="D11" i="10"/>
  <c r="D18" i="10" s="1"/>
  <c r="E11" i="10"/>
  <c r="E18" i="10" s="1"/>
  <c r="F11" i="10"/>
  <c r="F18" i="10" s="1"/>
  <c r="G11" i="10"/>
  <c r="G18" i="10" s="1"/>
  <c r="H11" i="10"/>
  <c r="H18" i="10" s="1"/>
  <c r="I11" i="10"/>
  <c r="I18" i="10" s="1"/>
  <c r="J11" i="10"/>
  <c r="J18" i="10" s="1"/>
  <c r="K11" i="10"/>
  <c r="K18" i="10" s="1"/>
  <c r="L11" i="10"/>
  <c r="L18" i="10" s="1"/>
  <c r="M11" i="10"/>
  <c r="M18" i="10" s="1"/>
  <c r="B47" i="14"/>
  <c r="B48" i="14" s="1"/>
  <c r="B49" i="14" s="1"/>
  <c r="B48" i="1"/>
  <c r="B49" i="1" s="1"/>
  <c r="B50" i="1" s="1"/>
  <c r="B31" i="1" s="1"/>
  <c r="B14" i="9"/>
  <c r="B20" i="9"/>
  <c r="B38" i="1"/>
  <c r="C38" i="1" s="1"/>
  <c r="N9" i="10"/>
  <c r="D224" i="2"/>
  <c r="C242" i="2"/>
  <c r="C23" i="15"/>
  <c r="C55" i="15"/>
  <c r="C61" i="15"/>
  <c r="C67" i="15"/>
  <c r="C73" i="15"/>
  <c r="C79" i="15"/>
  <c r="N12" i="10"/>
  <c r="N7" i="10"/>
  <c r="C19" i="10" l="1"/>
  <c r="C23" i="10"/>
  <c r="B21" i="9"/>
  <c r="G34" i="1" s="1"/>
  <c r="I34" i="1" s="1"/>
  <c r="B25" i="9"/>
  <c r="C42" i="13"/>
  <c r="D42" i="13" s="1"/>
  <c r="B26" i="1"/>
  <c r="B27" i="1" s="1"/>
  <c r="B29" i="1" s="1"/>
  <c r="B19" i="10"/>
  <c r="N18" i="10"/>
  <c r="N19" i="10" s="1"/>
  <c r="B23" i="10"/>
  <c r="B29" i="10"/>
  <c r="C29" i="10" s="1"/>
  <c r="D29" i="10" s="1"/>
  <c r="E29" i="10" s="1"/>
  <c r="F29" i="10" s="1"/>
  <c r="G29" i="10" s="1"/>
  <c r="H29" i="10" s="1"/>
  <c r="I29" i="10" s="1"/>
  <c r="J29" i="10" s="1"/>
  <c r="K29" i="10" s="1"/>
  <c r="L29" i="10" s="1"/>
  <c r="M29" i="10" s="1"/>
  <c r="B50" i="14"/>
  <c r="B51" i="1"/>
  <c r="C20" i="8"/>
  <c r="C17" i="6"/>
  <c r="C59" i="15"/>
  <c r="C88" i="15" s="1"/>
  <c r="C58" i="15"/>
  <c r="C87" i="15" s="1"/>
  <c r="C57" i="15"/>
  <c r="C86" i="15" s="1"/>
  <c r="C56" i="15"/>
  <c r="C85" i="15"/>
  <c r="D103" i="15"/>
  <c r="D110" i="15"/>
  <c r="C7" i="5"/>
  <c r="D226" i="2"/>
  <c r="E6" i="3"/>
  <c r="C8" i="4" s="1"/>
  <c r="E7" i="3"/>
  <c r="E8" i="3"/>
  <c r="E9" i="3"/>
  <c r="C13" i="8" s="1"/>
  <c r="E10" i="3"/>
  <c r="C12" i="8" s="1"/>
  <c r="E21" i="3"/>
  <c r="C65" i="5"/>
  <c r="C65" i="15"/>
  <c r="C64" i="15"/>
  <c r="C63" i="15"/>
  <c r="C62" i="15"/>
  <c r="D104" i="15"/>
  <c r="D111" i="15"/>
  <c r="C12" i="5"/>
  <c r="E12" i="3"/>
  <c r="E13" i="3"/>
  <c r="E14" i="3"/>
  <c r="E15" i="3"/>
  <c r="E16" i="3"/>
  <c r="C66" i="5"/>
  <c r="C71" i="15"/>
  <c r="C70" i="15"/>
  <c r="C69" i="15"/>
  <c r="C68" i="15"/>
  <c r="D106" i="15"/>
  <c r="D113" i="15"/>
  <c r="C17" i="5"/>
  <c r="E18" i="3"/>
  <c r="E20" i="3"/>
  <c r="C67" i="5"/>
  <c r="C77" i="15"/>
  <c r="C76" i="15"/>
  <c r="C75" i="15"/>
  <c r="C74" i="15"/>
  <c r="E19" i="3"/>
  <c r="E22" i="3"/>
  <c r="C22" i="5"/>
  <c r="C83" i="15"/>
  <c r="C82" i="15"/>
  <c r="C81" i="15"/>
  <c r="C80" i="15"/>
  <c r="D105" i="15"/>
  <c r="D112" i="15"/>
  <c r="E24" i="3"/>
  <c r="C11" i="4" s="1"/>
  <c r="C26" i="5"/>
  <c r="C68" i="5"/>
  <c r="C44" i="1"/>
  <c r="N11" i="10"/>
  <c r="D19" i="10"/>
  <c r="D23" i="10"/>
  <c r="E19" i="10"/>
  <c r="E23" i="10"/>
  <c r="F19" i="10"/>
  <c r="F23" i="10"/>
  <c r="G19" i="10"/>
  <c r="G23" i="10"/>
  <c r="H19" i="10"/>
  <c r="H23" i="10"/>
  <c r="I19" i="10"/>
  <c r="I23" i="10"/>
  <c r="J19" i="10"/>
  <c r="J23" i="10"/>
  <c r="K19" i="10"/>
  <c r="K23" i="10"/>
  <c r="L19" i="10"/>
  <c r="L23" i="10"/>
  <c r="M19" i="10"/>
  <c r="M23" i="10"/>
  <c r="C24" i="10" l="1"/>
  <c r="C26" i="10" s="1"/>
  <c r="B26" i="9"/>
  <c r="B28" i="9"/>
  <c r="F42" i="13"/>
  <c r="E42" i="13"/>
  <c r="N23" i="10"/>
  <c r="B24" i="10"/>
  <c r="B26" i="10"/>
  <c r="C36" i="5"/>
  <c r="C61" i="5"/>
  <c r="C9" i="5"/>
  <c r="C8" i="5"/>
  <c r="C47" i="5"/>
  <c r="C52" i="5"/>
  <c r="D227" i="2"/>
  <c r="D27" i="15"/>
  <c r="C13" i="4"/>
  <c r="C5" i="6"/>
  <c r="C5" i="7"/>
  <c r="C8" i="8"/>
  <c r="C21" i="8"/>
  <c r="C14" i="5"/>
  <c r="C13" i="5"/>
  <c r="C48" i="5"/>
  <c r="C19" i="5"/>
  <c r="C18" i="5"/>
  <c r="C49" i="5"/>
  <c r="C53" i="5"/>
  <c r="C24" i="5"/>
  <c r="C23" i="5"/>
  <c r="C50" i="5"/>
  <c r="C8" i="6"/>
  <c r="C16" i="6" s="1"/>
  <c r="C8" i="7"/>
  <c r="C10" i="8"/>
  <c r="C24" i="8"/>
  <c r="C28" i="5"/>
  <c r="C27" i="5"/>
  <c r="C51" i="5"/>
  <c r="D24" i="10"/>
  <c r="D26" i="10"/>
  <c r="E24" i="10"/>
  <c r="E26" i="10"/>
  <c r="F24" i="10"/>
  <c r="F26" i="10" s="1"/>
  <c r="G24" i="10"/>
  <c r="G26" i="10"/>
  <c r="H24" i="10"/>
  <c r="H26" i="10"/>
  <c r="I24" i="10"/>
  <c r="I26" i="10"/>
  <c r="J24" i="10"/>
  <c r="J26" i="10"/>
  <c r="K24" i="10"/>
  <c r="K26" i="10"/>
  <c r="L24" i="10"/>
  <c r="L26" i="10"/>
  <c r="M24" i="10"/>
  <c r="M26" i="10"/>
  <c r="C69" i="5"/>
  <c r="C72" i="5" s="1"/>
  <c r="C9" i="4"/>
  <c r="C10" i="4"/>
  <c r="C27" i="10" l="1"/>
  <c r="C28" i="10"/>
  <c r="B29" i="9"/>
  <c r="B31" i="9"/>
  <c r="C5" i="12" s="1"/>
  <c r="C7" i="12" s="1"/>
  <c r="C129" i="12"/>
  <c r="B28" i="1"/>
  <c r="C58" i="12"/>
  <c r="C59" i="12" s="1"/>
  <c r="B27" i="10"/>
  <c r="N26" i="10"/>
  <c r="N27" i="10" s="1"/>
  <c r="B28" i="10"/>
  <c r="B30" i="10"/>
  <c r="C30" i="10" s="1"/>
  <c r="D30" i="10" s="1"/>
  <c r="E30" i="10" s="1"/>
  <c r="F30" i="10" s="1"/>
  <c r="G30" i="10" s="1"/>
  <c r="H30" i="10" s="1"/>
  <c r="I30" i="10" s="1"/>
  <c r="J30" i="10" s="1"/>
  <c r="K30" i="10" s="1"/>
  <c r="L30" i="10" s="1"/>
  <c r="M30" i="10" s="1"/>
  <c r="C42" i="5"/>
  <c r="C54" i="5"/>
  <c r="C39" i="5"/>
  <c r="C43" i="5" s="1"/>
  <c r="C44" i="5"/>
  <c r="C45" i="5"/>
  <c r="D33" i="15"/>
  <c r="D93" i="15"/>
  <c r="C40" i="15"/>
  <c r="C41" i="15" s="1"/>
  <c r="C95" i="15"/>
  <c r="C55" i="5"/>
  <c r="C36" i="6"/>
  <c r="C14" i="8"/>
  <c r="C15" i="8"/>
  <c r="C28" i="8"/>
  <c r="C17" i="9" s="1"/>
  <c r="C4" i="9"/>
  <c r="C96" i="15"/>
  <c r="C97" i="15"/>
  <c r="D76" i="12"/>
  <c r="C25" i="1"/>
  <c r="C14" i="4"/>
  <c r="C15" i="4"/>
  <c r="C10" i="6"/>
  <c r="C13" i="6"/>
  <c r="C18" i="6" s="1"/>
  <c r="D27" i="10"/>
  <c r="D28" i="10"/>
  <c r="E27" i="10"/>
  <c r="E28" i="10"/>
  <c r="F27" i="10"/>
  <c r="F28" i="10"/>
  <c r="G27" i="10"/>
  <c r="G28" i="10"/>
  <c r="H27" i="10"/>
  <c r="H28" i="10"/>
  <c r="I27" i="10"/>
  <c r="I28" i="10"/>
  <c r="J27" i="10"/>
  <c r="J28" i="10"/>
  <c r="K27" i="10"/>
  <c r="K28" i="10"/>
  <c r="L27" i="10"/>
  <c r="L28" i="10"/>
  <c r="M27" i="10"/>
  <c r="M28" i="10"/>
  <c r="C22" i="8"/>
  <c r="C11" i="8"/>
  <c r="C6" i="7"/>
  <c r="C6" i="6"/>
  <c r="C14" i="6" s="1"/>
  <c r="C23" i="8"/>
  <c r="C9" i="8"/>
  <c r="C7" i="7"/>
  <c r="C7" i="6"/>
  <c r="C15" i="6" s="1"/>
  <c r="N24" i="10"/>
  <c r="D28" i="15"/>
  <c r="E161" i="2"/>
  <c r="D229" i="2" s="1"/>
  <c r="B43" i="13" l="1"/>
  <c r="C8" i="12"/>
  <c r="C10" i="12"/>
  <c r="C11" i="12"/>
  <c r="C14" i="12"/>
  <c r="C15" i="12" s="1"/>
  <c r="C131" i="12"/>
  <c r="C132" i="12" s="1"/>
  <c r="C120" i="12"/>
  <c r="C60" i="12"/>
  <c r="C62" i="12" s="1"/>
  <c r="C63" i="12" s="1"/>
  <c r="C41" i="5"/>
  <c r="D162" i="2"/>
  <c r="D163" i="2" s="1"/>
  <c r="D58" i="5"/>
  <c r="C48" i="15"/>
  <c r="C46" i="15"/>
  <c r="C47" i="15" s="1"/>
  <c r="C40" i="6"/>
  <c r="C18" i="8"/>
  <c r="C10" i="9" s="1"/>
  <c r="C42" i="15"/>
  <c r="D77" i="12"/>
  <c r="D79" i="12" s="1"/>
  <c r="C22" i="6"/>
  <c r="C25" i="6"/>
  <c r="C26" i="6"/>
  <c r="C27" i="6"/>
  <c r="C28" i="6"/>
  <c r="C29" i="6"/>
  <c r="C32" i="6"/>
  <c r="C21" i="6"/>
  <c r="C37" i="6"/>
  <c r="D34" i="15"/>
  <c r="D59" i="5" s="1"/>
  <c r="D230" i="2"/>
  <c r="D30" i="15"/>
  <c r="C25" i="8"/>
  <c r="C9" i="7"/>
  <c r="C16" i="8"/>
  <c r="N28" i="10"/>
  <c r="C121" i="12" l="1"/>
  <c r="C122" i="12" s="1"/>
  <c r="C50" i="15"/>
  <c r="C44" i="15"/>
  <c r="C49" i="15"/>
  <c r="C51" i="15"/>
  <c r="E78" i="12"/>
  <c r="D81" i="12"/>
  <c r="D82" i="12" s="1"/>
  <c r="D130" i="12"/>
  <c r="C38" i="6"/>
  <c r="C41" i="6" s="1"/>
  <c r="C39" i="6"/>
  <c r="D165" i="2"/>
  <c r="D167" i="2" s="1"/>
  <c r="D26" i="15"/>
  <c r="D31" i="15" s="1"/>
  <c r="D241" i="2"/>
  <c r="D243" i="2" s="1"/>
  <c r="D244" i="2" s="1"/>
  <c r="D231" i="2"/>
  <c r="D92" i="15"/>
  <c r="D35" i="15"/>
  <c r="C11" i="9"/>
  <c r="C11" i="7"/>
  <c r="C12" i="7"/>
  <c r="C27" i="7"/>
  <c r="C29" i="7" s="1"/>
  <c r="C15" i="7"/>
  <c r="C31" i="8"/>
  <c r="C32" i="8" s="1"/>
  <c r="C5" i="9"/>
  <c r="C7" i="9" s="1"/>
  <c r="D240" i="2" l="1"/>
  <c r="D22" i="15"/>
  <c r="D36" i="15"/>
  <c r="D60" i="5"/>
  <c r="C13" i="9"/>
  <c r="C8" i="9"/>
  <c r="E224" i="2" l="1"/>
  <c r="D242" i="2"/>
  <c r="D23" i="15"/>
  <c r="D55" i="15"/>
  <c r="D61" i="15"/>
  <c r="D67" i="15"/>
  <c r="D73" i="15"/>
  <c r="D79" i="15"/>
  <c r="C14" i="9"/>
  <c r="C20" i="9"/>
  <c r="D19" i="8" l="1"/>
  <c r="D20" i="8"/>
  <c r="D17" i="6"/>
  <c r="D59" i="15"/>
  <c r="D88" i="15" s="1"/>
  <c r="D58" i="15"/>
  <c r="D87" i="15" s="1"/>
  <c r="D57" i="15"/>
  <c r="D86" i="15" s="1"/>
  <c r="D56" i="15"/>
  <c r="D85" i="15"/>
  <c r="E103" i="15"/>
  <c r="E110" i="15"/>
  <c r="D7" i="5"/>
  <c r="E226" i="2"/>
  <c r="F6" i="3"/>
  <c r="F7" i="3"/>
  <c r="F8" i="3"/>
  <c r="F9" i="3"/>
  <c r="D13" i="8" s="1"/>
  <c r="F10" i="3"/>
  <c r="D12" i="8" s="1"/>
  <c r="F21" i="3"/>
  <c r="D65" i="5"/>
  <c r="D65" i="15"/>
  <c r="D64" i="15"/>
  <c r="D63" i="15"/>
  <c r="D62" i="15"/>
  <c r="E104" i="15"/>
  <c r="E111" i="15"/>
  <c r="D12" i="5"/>
  <c r="F12" i="3"/>
  <c r="F13" i="3"/>
  <c r="F14" i="3"/>
  <c r="F15" i="3"/>
  <c r="F16" i="3"/>
  <c r="D66" i="5"/>
  <c r="D71" i="15"/>
  <c r="D70" i="15"/>
  <c r="D69" i="15"/>
  <c r="D68" i="15"/>
  <c r="E106" i="15"/>
  <c r="E113" i="15"/>
  <c r="D17" i="5"/>
  <c r="F18" i="3"/>
  <c r="F20" i="3"/>
  <c r="D67" i="5"/>
  <c r="D77" i="15"/>
  <c r="D76" i="15"/>
  <c r="D75" i="15"/>
  <c r="D74" i="15"/>
  <c r="F19" i="3"/>
  <c r="F22" i="3"/>
  <c r="D22" i="5"/>
  <c r="D81" i="15"/>
  <c r="D83" i="15"/>
  <c r="D82" i="15"/>
  <c r="D80" i="15"/>
  <c r="E105" i="15"/>
  <c r="E112" i="15"/>
  <c r="F24" i="3"/>
  <c r="D11" i="4" s="1"/>
  <c r="D26" i="5"/>
  <c r="D68" i="5"/>
  <c r="C21" i="9"/>
  <c r="C25" i="9"/>
  <c r="C43" i="13"/>
  <c r="D43" i="13" s="1"/>
  <c r="C26" i="1"/>
  <c r="C27" i="1" s="1"/>
  <c r="C29" i="1" s="1"/>
  <c r="D36" i="5" l="1"/>
  <c r="D61" i="5"/>
  <c r="D9" i="5"/>
  <c r="D8" i="5"/>
  <c r="D47" i="5"/>
  <c r="D52" i="5"/>
  <c r="E227" i="2"/>
  <c r="E27" i="15"/>
  <c r="D14" i="5"/>
  <c r="D13" i="5"/>
  <c r="D48" i="5"/>
  <c r="D19" i="5"/>
  <c r="D18" i="5"/>
  <c r="D49" i="5"/>
  <c r="D53" i="5"/>
  <c r="D24" i="5"/>
  <c r="D23" i="5"/>
  <c r="D50" i="5"/>
  <c r="D8" i="6"/>
  <c r="D16" i="6" s="1"/>
  <c r="D8" i="7"/>
  <c r="D10" i="8"/>
  <c r="D24" i="8"/>
  <c r="D28" i="5"/>
  <c r="D27" i="5"/>
  <c r="D51" i="5"/>
  <c r="C26" i="9"/>
  <c r="C28" i="9"/>
  <c r="F43" i="13"/>
  <c r="E43" i="13"/>
  <c r="D8" i="4"/>
  <c r="D69" i="5"/>
  <c r="D72" i="5" s="1"/>
  <c r="D9" i="4"/>
  <c r="D10" i="4"/>
  <c r="D42" i="5" l="1"/>
  <c r="D39" i="5"/>
  <c r="D43" i="5" s="1"/>
  <c r="D54" i="5"/>
  <c r="D44" i="5"/>
  <c r="E33" i="15"/>
  <c r="E93" i="15"/>
  <c r="C29" i="9"/>
  <c r="C31" i="9"/>
  <c r="D5" i="12" s="1"/>
  <c r="D7" i="12" s="1"/>
  <c r="D129" i="12"/>
  <c r="C28" i="1"/>
  <c r="D58" i="12"/>
  <c r="D59" i="12" s="1"/>
  <c r="D21" i="8"/>
  <c r="D8" i="8"/>
  <c r="D5" i="7"/>
  <c r="D5" i="6"/>
  <c r="D13" i="4"/>
  <c r="D45" i="5" s="1"/>
  <c r="D22" i="8"/>
  <c r="D11" i="8"/>
  <c r="D6" i="7"/>
  <c r="D6" i="6"/>
  <c r="D14" i="6" s="1"/>
  <c r="D23" i="8"/>
  <c r="D9" i="8"/>
  <c r="D7" i="7"/>
  <c r="D7" i="6"/>
  <c r="D15" i="6" s="1"/>
  <c r="E28" i="15"/>
  <c r="F161" i="2"/>
  <c r="E229" i="2" s="1"/>
  <c r="D41" i="5" l="1"/>
  <c r="E162" i="2"/>
  <c r="E163" i="2" s="1"/>
  <c r="E58" i="5"/>
  <c r="D8" i="12"/>
  <c r="B44" i="13"/>
  <c r="D10" i="12"/>
  <c r="D11" i="12"/>
  <c r="D14" i="12"/>
  <c r="D15" i="12" s="1"/>
  <c r="D131" i="12"/>
  <c r="D132" i="12" s="1"/>
  <c r="D60" i="12"/>
  <c r="D62" i="12" s="1"/>
  <c r="D63" i="12" s="1"/>
  <c r="D120" i="12"/>
  <c r="D10" i="6"/>
  <c r="D13" i="6"/>
  <c r="D18" i="6" s="1"/>
  <c r="D40" i="15"/>
  <c r="D41" i="15" s="1"/>
  <c r="D95" i="15"/>
  <c r="D55" i="5"/>
  <c r="D36" i="6"/>
  <c r="D14" i="8"/>
  <c r="D15" i="8"/>
  <c r="D28" i="8"/>
  <c r="D17" i="9" s="1"/>
  <c r="D4" i="9"/>
  <c r="D96" i="15"/>
  <c r="D97" i="15"/>
  <c r="E76" i="12"/>
  <c r="D25" i="1"/>
  <c r="D14" i="4"/>
  <c r="D15" i="4"/>
  <c r="E34" i="15"/>
  <c r="E59" i="5" s="1"/>
  <c r="E230" i="2"/>
  <c r="E30" i="15"/>
  <c r="D25" i="8"/>
  <c r="D16" i="8"/>
  <c r="D9" i="7"/>
  <c r="D15" i="7" s="1"/>
  <c r="D121" i="12" l="1"/>
  <c r="D122" i="12" s="1"/>
  <c r="D22" i="6"/>
  <c r="D25" i="6"/>
  <c r="D26" i="6"/>
  <c r="D27" i="6"/>
  <c r="D28" i="6"/>
  <c r="D29" i="6"/>
  <c r="D32" i="6"/>
  <c r="D21" i="6"/>
  <c r="D37" i="6"/>
  <c r="D48" i="15"/>
  <c r="D46" i="15"/>
  <c r="D47" i="15" s="1"/>
  <c r="D40" i="6"/>
  <c r="D18" i="8"/>
  <c r="D10" i="9" s="1"/>
  <c r="D42" i="15"/>
  <c r="D41" i="14"/>
  <c r="E77" i="12"/>
  <c r="E79" i="12" s="1"/>
  <c r="E165" i="2"/>
  <c r="E167" i="2" s="1"/>
  <c r="E26" i="15"/>
  <c r="E241" i="2"/>
  <c r="E243" i="2" s="1"/>
  <c r="E244" i="2" s="1"/>
  <c r="E231" i="2"/>
  <c r="E31" i="15"/>
  <c r="E92" i="15"/>
  <c r="E35" i="15"/>
  <c r="D11" i="7"/>
  <c r="D11" i="9"/>
  <c r="D5" i="9"/>
  <c r="D7" i="9" s="1"/>
  <c r="D31" i="8"/>
  <c r="D32" i="8" s="1"/>
  <c r="D27" i="7"/>
  <c r="D29" i="7" s="1"/>
  <c r="D12" i="7"/>
  <c r="D38" i="6" l="1"/>
  <c r="D50" i="15"/>
  <c r="D44" i="15"/>
  <c r="D49" i="15"/>
  <c r="D51" i="15"/>
  <c r="D8" i="9"/>
  <c r="D13" i="9"/>
  <c r="F78" i="12"/>
  <c r="E81" i="12"/>
  <c r="E82" i="12" s="1"/>
  <c r="C94" i="12"/>
  <c r="E130" i="12"/>
  <c r="E240" i="2"/>
  <c r="E22" i="15"/>
  <c r="E36" i="15"/>
  <c r="E60" i="5"/>
  <c r="D14" i="9" l="1"/>
  <c r="D20" i="9"/>
  <c r="F224" i="2"/>
  <c r="E242" i="2"/>
  <c r="E23" i="15"/>
  <c r="E55" i="15"/>
  <c r="E61" i="15"/>
  <c r="E67" i="15"/>
  <c r="E73" i="15"/>
  <c r="E79" i="15"/>
  <c r="D41" i="6"/>
  <c r="D39" i="6"/>
  <c r="D21" i="9" l="1"/>
  <c r="G35" i="1" s="1"/>
  <c r="I35" i="1" s="1"/>
  <c r="D25" i="9"/>
  <c r="B13" i="13"/>
  <c r="C44" i="13"/>
  <c r="D44" i="13" s="1"/>
  <c r="D26" i="1"/>
  <c r="D27" i="1" s="1"/>
  <c r="D29" i="1" s="1"/>
  <c r="E19" i="8"/>
  <c r="E20" i="8"/>
  <c r="E17" i="6"/>
  <c r="E59" i="15"/>
  <c r="E88" i="15" s="1"/>
  <c r="E58" i="15"/>
  <c r="E87" i="15" s="1"/>
  <c r="E57" i="15"/>
  <c r="E86" i="15" s="1"/>
  <c r="E56" i="15"/>
  <c r="E85" i="15"/>
  <c r="F103" i="15"/>
  <c r="F110" i="15"/>
  <c r="E7" i="5"/>
  <c r="F226" i="2"/>
  <c r="G6" i="3"/>
  <c r="G7" i="3"/>
  <c r="G8" i="3"/>
  <c r="G9" i="3"/>
  <c r="E13" i="8" s="1"/>
  <c r="G10" i="3"/>
  <c r="E12" i="8" s="1"/>
  <c r="G21" i="3"/>
  <c r="E65" i="5"/>
  <c r="E65" i="15"/>
  <c r="E64" i="15"/>
  <c r="E63" i="15"/>
  <c r="E62" i="15"/>
  <c r="F104" i="15"/>
  <c r="F111" i="15"/>
  <c r="E12" i="5"/>
  <c r="G12" i="3"/>
  <c r="G13" i="3"/>
  <c r="G14" i="3"/>
  <c r="G15" i="3"/>
  <c r="G16" i="3"/>
  <c r="E66" i="5"/>
  <c r="E71" i="15"/>
  <c r="E70" i="15"/>
  <c r="E69" i="15"/>
  <c r="E68" i="15"/>
  <c r="F106" i="15"/>
  <c r="F113" i="15"/>
  <c r="G18" i="3"/>
  <c r="G20" i="3"/>
  <c r="E17" i="5"/>
  <c r="E67" i="5"/>
  <c r="E77" i="15"/>
  <c r="E76" i="15"/>
  <c r="E75" i="15"/>
  <c r="E74" i="15"/>
  <c r="G19" i="3"/>
  <c r="G22" i="3"/>
  <c r="E22" i="5"/>
  <c r="E83" i="15"/>
  <c r="E82" i="15"/>
  <c r="E81" i="15"/>
  <c r="E80" i="15"/>
  <c r="F105" i="15"/>
  <c r="F112" i="15"/>
  <c r="G24" i="3"/>
  <c r="E11" i="4" s="1"/>
  <c r="E26" i="5"/>
  <c r="E68" i="5"/>
  <c r="D26" i="9" l="1"/>
  <c r="D28" i="9"/>
  <c r="C13" i="13"/>
  <c r="D13" i="13"/>
  <c r="E13" i="13"/>
  <c r="B27" i="13"/>
  <c r="C27" i="13"/>
  <c r="D27" i="13"/>
  <c r="E27" i="13"/>
  <c r="F27" i="13"/>
  <c r="F44" i="13"/>
  <c r="E44" i="13"/>
  <c r="E36" i="5"/>
  <c r="E61" i="5"/>
  <c r="E9" i="5"/>
  <c r="E8" i="5"/>
  <c r="E47" i="5"/>
  <c r="E52" i="5"/>
  <c r="F227" i="2"/>
  <c r="F27" i="15"/>
  <c r="E14" i="5"/>
  <c r="E13" i="5"/>
  <c r="E48" i="5"/>
  <c r="E19" i="5"/>
  <c r="E18" i="5"/>
  <c r="E49" i="5"/>
  <c r="E53" i="5"/>
  <c r="E24" i="5"/>
  <c r="E23" i="5"/>
  <c r="E50" i="5"/>
  <c r="E8" i="6"/>
  <c r="E16" i="6" s="1"/>
  <c r="E8" i="7"/>
  <c r="E10" i="8"/>
  <c r="E24" i="8"/>
  <c r="E28" i="5"/>
  <c r="E27" i="5"/>
  <c r="E51" i="5"/>
  <c r="E69" i="5"/>
  <c r="E72" i="5" s="1"/>
  <c r="E9" i="4"/>
  <c r="E10" i="4"/>
  <c r="E8" i="4"/>
  <c r="D29" i="9" l="1"/>
  <c r="D31" i="9"/>
  <c r="E5" i="12" s="1"/>
  <c r="E7" i="12" s="1"/>
  <c r="E129" i="12"/>
  <c r="E58" i="12"/>
  <c r="E59" i="12" s="1"/>
  <c r="D28" i="1"/>
  <c r="F13" i="13"/>
  <c r="G13" i="13"/>
  <c r="B20" i="13"/>
  <c r="E42" i="5"/>
  <c r="E54" i="5"/>
  <c r="E39" i="5"/>
  <c r="E43" i="5" s="1"/>
  <c r="E44" i="5"/>
  <c r="F33" i="15"/>
  <c r="F93" i="15"/>
  <c r="E22" i="8"/>
  <c r="E11" i="8"/>
  <c r="E6" i="7"/>
  <c r="E6" i="6"/>
  <c r="E14" i="6" s="1"/>
  <c r="E23" i="8"/>
  <c r="E9" i="8"/>
  <c r="E7" i="7"/>
  <c r="E7" i="6"/>
  <c r="E15" i="6" s="1"/>
  <c r="E21" i="8"/>
  <c r="E25" i="8" s="1"/>
  <c r="E8" i="8"/>
  <c r="E5" i="7"/>
  <c r="E9" i="7" s="1"/>
  <c r="E5" i="6"/>
  <c r="E13" i="4"/>
  <c r="E45" i="5" s="1"/>
  <c r="F28" i="15"/>
  <c r="G161" i="2"/>
  <c r="F229" i="2" s="1"/>
  <c r="E8" i="12" l="1"/>
  <c r="B45" i="13"/>
  <c r="E10" i="12"/>
  <c r="E11" i="12"/>
  <c r="E14" i="12"/>
  <c r="E15" i="12" s="1"/>
  <c r="E131" i="12"/>
  <c r="E132" i="12" s="1"/>
  <c r="E120" i="12"/>
  <c r="E60" i="12"/>
  <c r="C20" i="13"/>
  <c r="D20" i="13" s="1"/>
  <c r="E20" i="13"/>
  <c r="E41" i="5"/>
  <c r="F162" i="2"/>
  <c r="F163" i="2" s="1"/>
  <c r="F58" i="5"/>
  <c r="E11" i="9"/>
  <c r="E11" i="7"/>
  <c r="E12" i="7"/>
  <c r="E27" i="7"/>
  <c r="E29" i="7" s="1"/>
  <c r="E10" i="6"/>
  <c r="E13" i="6"/>
  <c r="E18" i="6" s="1"/>
  <c r="E40" i="15"/>
  <c r="E41" i="15" s="1"/>
  <c r="E95" i="15"/>
  <c r="E55" i="5"/>
  <c r="E36" i="6"/>
  <c r="E15" i="7"/>
  <c r="E14" i="8"/>
  <c r="E15" i="8"/>
  <c r="F76" i="12"/>
  <c r="E28" i="8"/>
  <c r="E17" i="9" s="1"/>
  <c r="E4" i="9"/>
  <c r="E96" i="15"/>
  <c r="E97" i="15"/>
  <c r="E25" i="1"/>
  <c r="E14" i="4"/>
  <c r="E15" i="4"/>
  <c r="F34" i="15"/>
  <c r="F230" i="2"/>
  <c r="F30" i="15"/>
  <c r="E121" i="12" l="1"/>
  <c r="E122" i="12" s="1"/>
  <c r="E62" i="12"/>
  <c r="E63" i="12" s="1"/>
  <c r="B94" i="12"/>
  <c r="D94" i="12" s="1"/>
  <c r="E22" i="6"/>
  <c r="E25" i="6"/>
  <c r="E26" i="6"/>
  <c r="E27" i="6"/>
  <c r="E28" i="6"/>
  <c r="E29" i="6"/>
  <c r="E32" i="6"/>
  <c r="E21" i="6"/>
  <c r="E37" i="6"/>
  <c r="E48" i="15"/>
  <c r="E46" i="15"/>
  <c r="E47" i="15" s="1"/>
  <c r="E40" i="6"/>
  <c r="E18" i="8"/>
  <c r="E10" i="9" s="1"/>
  <c r="E42" i="15"/>
  <c r="F77" i="12"/>
  <c r="F79" i="12" s="1"/>
  <c r="F165" i="2"/>
  <c r="F167" i="2" s="1"/>
  <c r="F26" i="15"/>
  <c r="F241" i="2"/>
  <c r="F243" i="2" s="1"/>
  <c r="F244" i="2" s="1"/>
  <c r="F231" i="2"/>
  <c r="F31" i="15"/>
  <c r="F92" i="15"/>
  <c r="F35" i="15"/>
  <c r="E16" i="8"/>
  <c r="F59" i="5"/>
  <c r="F36" i="15"/>
  <c r="E38" i="6" l="1"/>
  <c r="E41" i="6" s="1"/>
  <c r="E39" i="6"/>
  <c r="E50" i="15"/>
  <c r="E44" i="15"/>
  <c r="E49" i="15"/>
  <c r="E51" i="15"/>
  <c r="G78" i="12"/>
  <c r="F81" i="12"/>
  <c r="F82" i="12" s="1"/>
  <c r="F130" i="12"/>
  <c r="F240" i="2"/>
  <c r="F22" i="15"/>
  <c r="F60" i="5"/>
  <c r="E31" i="8"/>
  <c r="E32" i="8" s="1"/>
  <c r="E5" i="9"/>
  <c r="E7" i="9" s="1"/>
  <c r="G224" i="2" l="1"/>
  <c r="F242" i="2"/>
  <c r="F23" i="15"/>
  <c r="F55" i="15"/>
  <c r="F61" i="15"/>
  <c r="F67" i="15"/>
  <c r="F73" i="15"/>
  <c r="F79" i="15"/>
  <c r="E13" i="9"/>
  <c r="E8" i="9"/>
  <c r="F19" i="8" l="1"/>
  <c r="F20" i="8"/>
  <c r="F17" i="6"/>
  <c r="F59" i="15"/>
  <c r="F58" i="15"/>
  <c r="F57" i="15"/>
  <c r="F56" i="15"/>
  <c r="F85" i="15"/>
  <c r="G103" i="15"/>
  <c r="G110" i="15"/>
  <c r="F7" i="5"/>
  <c r="G226" i="2"/>
  <c r="H6" i="3"/>
  <c r="H7" i="3"/>
  <c r="H8" i="3"/>
  <c r="H9" i="3"/>
  <c r="F13" i="8" s="1"/>
  <c r="H10" i="3"/>
  <c r="F12" i="8" s="1"/>
  <c r="H21" i="3"/>
  <c r="F65" i="5"/>
  <c r="F65" i="15"/>
  <c r="F64" i="15"/>
  <c r="F63" i="15"/>
  <c r="F62" i="15"/>
  <c r="G104" i="15"/>
  <c r="G111" i="15"/>
  <c r="F12" i="5"/>
  <c r="H12" i="3"/>
  <c r="H13" i="3"/>
  <c r="H14" i="3"/>
  <c r="H15" i="3"/>
  <c r="H16" i="3"/>
  <c r="F66" i="5"/>
  <c r="F71" i="15"/>
  <c r="F70" i="15"/>
  <c r="F69" i="15"/>
  <c r="F68" i="15"/>
  <c r="G106" i="15"/>
  <c r="G113" i="15"/>
  <c r="H18" i="3"/>
  <c r="H20" i="3"/>
  <c r="F17" i="5"/>
  <c r="F67" i="5"/>
  <c r="F77" i="15"/>
  <c r="F76" i="15"/>
  <c r="F75" i="15"/>
  <c r="F74" i="15"/>
  <c r="H19" i="3"/>
  <c r="H22" i="3"/>
  <c r="F22" i="5"/>
  <c r="F83" i="15"/>
  <c r="F82" i="15"/>
  <c r="F81" i="15"/>
  <c r="F80" i="15"/>
  <c r="G105" i="15"/>
  <c r="G112" i="15"/>
  <c r="H24" i="3"/>
  <c r="F11" i="4" s="1"/>
  <c r="F26" i="5"/>
  <c r="F68" i="5"/>
  <c r="E14" i="9"/>
  <c r="E20" i="9"/>
  <c r="F36" i="5" l="1"/>
  <c r="F61" i="5"/>
  <c r="F9" i="5"/>
  <c r="F8" i="5"/>
  <c r="F47" i="5"/>
  <c r="F52" i="5"/>
  <c r="G227" i="2"/>
  <c r="G27" i="15"/>
  <c r="F14" i="5"/>
  <c r="F13" i="5"/>
  <c r="F48" i="5"/>
  <c r="F19" i="5"/>
  <c r="F18" i="5"/>
  <c r="F49" i="5"/>
  <c r="F53" i="5"/>
  <c r="F24" i="5"/>
  <c r="F23" i="5"/>
  <c r="F50" i="5"/>
  <c r="F8" i="6"/>
  <c r="F16" i="6" s="1"/>
  <c r="F8" i="7"/>
  <c r="F10" i="8"/>
  <c r="F24" i="8"/>
  <c r="F28" i="5"/>
  <c r="F27" i="5"/>
  <c r="F51" i="5"/>
  <c r="E21" i="9"/>
  <c r="E25" i="9"/>
  <c r="C45" i="13"/>
  <c r="D45" i="13" s="1"/>
  <c r="E26" i="1"/>
  <c r="E27" i="1" s="1"/>
  <c r="E29" i="1" s="1"/>
  <c r="F10" i="4"/>
  <c r="F88" i="15"/>
  <c r="F87" i="15"/>
  <c r="F86" i="15"/>
  <c r="F8" i="4"/>
  <c r="F69" i="5"/>
  <c r="F72" i="5" s="1"/>
  <c r="F9" i="4"/>
  <c r="F42" i="5" l="1"/>
  <c r="F54" i="5"/>
  <c r="F39" i="5"/>
  <c r="F44" i="5"/>
  <c r="F45" i="5"/>
  <c r="G33" i="15"/>
  <c r="G93" i="15"/>
  <c r="E26" i="9"/>
  <c r="E28" i="9"/>
  <c r="F45" i="13"/>
  <c r="E45" i="13"/>
  <c r="F23" i="8"/>
  <c r="F9" i="8"/>
  <c r="F7" i="7"/>
  <c r="F7" i="6"/>
  <c r="F15" i="6" s="1"/>
  <c r="F21" i="8"/>
  <c r="F25" i="8" s="1"/>
  <c r="F8" i="8"/>
  <c r="F5" i="7"/>
  <c r="F5" i="6"/>
  <c r="F13" i="4"/>
  <c r="F22" i="8"/>
  <c r="F11" i="8"/>
  <c r="F6" i="7"/>
  <c r="F6" i="6"/>
  <c r="F14" i="6" s="1"/>
  <c r="G28" i="15"/>
  <c r="H161" i="2"/>
  <c r="G229" i="2" s="1"/>
  <c r="F41" i="5" l="1"/>
  <c r="G162" i="2"/>
  <c r="G163" i="2" s="1"/>
  <c r="G40" i="1"/>
  <c r="I40" i="1" s="1"/>
  <c r="G39" i="1"/>
  <c r="I39" i="1" s="1"/>
  <c r="F43" i="5"/>
  <c r="G58" i="5"/>
  <c r="E29" i="9"/>
  <c r="E31" i="9"/>
  <c r="F5" i="12" s="1"/>
  <c r="F7" i="12" s="1"/>
  <c r="F129" i="12"/>
  <c r="E28" i="1"/>
  <c r="F58" i="12"/>
  <c r="F59" i="12" s="1"/>
  <c r="F11" i="9"/>
  <c r="F11" i="7"/>
  <c r="F10" i="6"/>
  <c r="F13" i="6"/>
  <c r="F18" i="6" s="1"/>
  <c r="F40" i="15"/>
  <c r="F41" i="15" s="1"/>
  <c r="F95" i="15"/>
  <c r="F96" i="15" s="1"/>
  <c r="F55" i="5"/>
  <c r="F36" i="6"/>
  <c r="F15" i="7"/>
  <c r="F14" i="8"/>
  <c r="F15" i="8"/>
  <c r="F28" i="8"/>
  <c r="F17" i="9" s="1"/>
  <c r="F4" i="9"/>
  <c r="C56" i="14"/>
  <c r="D56" i="14" s="1"/>
  <c r="B7" i="14"/>
  <c r="F97" i="15"/>
  <c r="G76" i="12"/>
  <c r="G77" i="12" s="1"/>
  <c r="G79" i="12" s="1"/>
  <c r="F25" i="1"/>
  <c r="C57" i="1"/>
  <c r="D57" i="1" s="1"/>
  <c r="F14" i="4"/>
  <c r="F15" i="4"/>
  <c r="G34" i="15"/>
  <c r="G59" i="5" s="1"/>
  <c r="G230" i="2"/>
  <c r="G30" i="15"/>
  <c r="F9" i="7"/>
  <c r="B46" i="13" l="1"/>
  <c r="F8" i="12"/>
  <c r="F10" i="12"/>
  <c r="F11" i="12"/>
  <c r="F14" i="12"/>
  <c r="F15" i="12" s="1"/>
  <c r="F131" i="12"/>
  <c r="F132" i="12" s="1"/>
  <c r="F60" i="12"/>
  <c r="F62" i="12" s="1"/>
  <c r="F63" i="12" s="1"/>
  <c r="F120" i="12"/>
  <c r="F22" i="6"/>
  <c r="F25" i="6"/>
  <c r="F26" i="6"/>
  <c r="F27" i="6"/>
  <c r="F28" i="6"/>
  <c r="F29" i="6"/>
  <c r="F32" i="6"/>
  <c r="F21" i="6"/>
  <c r="F37" i="6"/>
  <c r="F48" i="15"/>
  <c r="F46" i="15"/>
  <c r="F47" i="15" s="1"/>
  <c r="F40" i="6"/>
  <c r="F18" i="8"/>
  <c r="F10" i="9" s="1"/>
  <c r="F42" i="15"/>
  <c r="E41" i="14"/>
  <c r="C11" i="14"/>
  <c r="C12" i="14"/>
  <c r="C13" i="14"/>
  <c r="C14" i="14"/>
  <c r="C15" i="14"/>
  <c r="C16" i="14"/>
  <c r="C17" i="14"/>
  <c r="H78" i="12"/>
  <c r="G81" i="12"/>
  <c r="G82" i="12" s="1"/>
  <c r="G130" i="12"/>
  <c r="G165" i="2"/>
  <c r="G167" i="2" s="1"/>
  <c r="G26" i="15"/>
  <c r="G241" i="2"/>
  <c r="G243" i="2" s="1"/>
  <c r="G244" i="2" s="1"/>
  <c r="G231" i="2"/>
  <c r="G31" i="15"/>
  <c r="G92" i="15"/>
  <c r="G35" i="15"/>
  <c r="F27" i="7"/>
  <c r="F29" i="7" s="1"/>
  <c r="F12" i="7"/>
  <c r="F16" i="8"/>
  <c r="F121" i="12" l="1"/>
  <c r="F122" i="12" s="1"/>
  <c r="F38" i="6"/>
  <c r="F41" i="6" s="1"/>
  <c r="F39" i="6"/>
  <c r="F50" i="15"/>
  <c r="F44" i="15"/>
  <c r="F49" i="15"/>
  <c r="F51" i="15"/>
  <c r="C95" i="12"/>
  <c r="C97" i="12" s="1"/>
  <c r="G240" i="2"/>
  <c r="G22" i="15"/>
  <c r="G36" i="15"/>
  <c r="G60" i="5"/>
  <c r="F31" i="8"/>
  <c r="F32" i="8" s="1"/>
  <c r="F5" i="9"/>
  <c r="F7" i="9" s="1"/>
  <c r="H224" i="2" l="1"/>
  <c r="G242" i="2"/>
  <c r="G23" i="15"/>
  <c r="G55" i="15"/>
  <c r="G61" i="15"/>
  <c r="G67" i="15"/>
  <c r="G73" i="15"/>
  <c r="G79" i="15"/>
  <c r="F13" i="9"/>
  <c r="F8" i="9"/>
  <c r="G19" i="8" l="1"/>
  <c r="G20" i="8"/>
  <c r="G17" i="6"/>
  <c r="G59" i="15"/>
  <c r="G58" i="15"/>
  <c r="G57" i="15"/>
  <c r="G56" i="15"/>
  <c r="G85" i="15"/>
  <c r="H103" i="15"/>
  <c r="H110" i="15"/>
  <c r="G7" i="5"/>
  <c r="H226" i="2"/>
  <c r="I6" i="3"/>
  <c r="I7" i="3"/>
  <c r="I8" i="3"/>
  <c r="I9" i="3"/>
  <c r="G13" i="8" s="1"/>
  <c r="I10" i="3"/>
  <c r="G12" i="8" s="1"/>
  <c r="I21" i="3"/>
  <c r="G65" i="5"/>
  <c r="G65" i="15"/>
  <c r="G64" i="15"/>
  <c r="G63" i="15"/>
  <c r="G62" i="15"/>
  <c r="H104" i="15"/>
  <c r="H111" i="15"/>
  <c r="G12" i="5"/>
  <c r="I12" i="3"/>
  <c r="I13" i="3"/>
  <c r="I14" i="3"/>
  <c r="I15" i="3"/>
  <c r="I16" i="3"/>
  <c r="G66" i="5"/>
  <c r="G71" i="15"/>
  <c r="G70" i="15"/>
  <c r="G69" i="15"/>
  <c r="G68" i="15"/>
  <c r="H106" i="15"/>
  <c r="H113" i="15"/>
  <c r="I18" i="3"/>
  <c r="I20" i="3"/>
  <c r="G17" i="5"/>
  <c r="G67" i="5"/>
  <c r="G77" i="15"/>
  <c r="G76" i="15"/>
  <c r="G75" i="15"/>
  <c r="G74" i="15"/>
  <c r="I19" i="3"/>
  <c r="I22" i="3"/>
  <c r="G22" i="5"/>
  <c r="G83" i="15"/>
  <c r="G82" i="15"/>
  <c r="G81" i="15"/>
  <c r="G80" i="15"/>
  <c r="H105" i="15"/>
  <c r="H112" i="15"/>
  <c r="I24" i="3"/>
  <c r="G11" i="4" s="1"/>
  <c r="G26" i="5"/>
  <c r="G68" i="5"/>
  <c r="F14" i="9"/>
  <c r="F20" i="9"/>
  <c r="G36" i="5" l="1"/>
  <c r="G61" i="5"/>
  <c r="G9" i="5"/>
  <c r="G8" i="5"/>
  <c r="G47" i="5"/>
  <c r="G52" i="5"/>
  <c r="H227" i="2"/>
  <c r="H27" i="15"/>
  <c r="G14" i="5"/>
  <c r="G13" i="5"/>
  <c r="G48" i="5"/>
  <c r="G19" i="5"/>
  <c r="G18" i="5"/>
  <c r="G49" i="5"/>
  <c r="G53" i="5"/>
  <c r="G24" i="5"/>
  <c r="G23" i="5"/>
  <c r="G50" i="5"/>
  <c r="G8" i="6"/>
  <c r="G16" i="6" s="1"/>
  <c r="G8" i="7"/>
  <c r="G10" i="8"/>
  <c r="G24" i="8"/>
  <c r="G28" i="5"/>
  <c r="G27" i="5"/>
  <c r="G51" i="5"/>
  <c r="F21" i="9"/>
  <c r="G36" i="1" s="1"/>
  <c r="I36" i="1" s="1"/>
  <c r="F25" i="9"/>
  <c r="B14" i="13"/>
  <c r="G9" i="12"/>
  <c r="C46" i="13"/>
  <c r="D46" i="13" s="1"/>
  <c r="B5" i="14"/>
  <c r="F26" i="1"/>
  <c r="F27" i="1" s="1"/>
  <c r="F29" i="1" s="1"/>
  <c r="G65" i="12"/>
  <c r="G66" i="12" s="1"/>
  <c r="G10" i="4"/>
  <c r="G88" i="15"/>
  <c r="G87" i="15"/>
  <c r="G86" i="15"/>
  <c r="G8" i="4"/>
  <c r="G69" i="5"/>
  <c r="G72" i="5" s="1"/>
  <c r="G9" i="4"/>
  <c r="G42" i="5" l="1"/>
  <c r="G54" i="5"/>
  <c r="G39" i="5"/>
  <c r="G43" i="5" s="1"/>
  <c r="G44" i="5"/>
  <c r="G45" i="5"/>
  <c r="H33" i="15"/>
  <c r="H93" i="15"/>
  <c r="F26" i="9"/>
  <c r="F28" i="9"/>
  <c r="C14" i="13"/>
  <c r="D14" i="13"/>
  <c r="E14" i="13"/>
  <c r="B28" i="13"/>
  <c r="C28" i="13"/>
  <c r="D28" i="13"/>
  <c r="E28" i="13"/>
  <c r="F28" i="13"/>
  <c r="F46" i="13"/>
  <c r="E46" i="13"/>
  <c r="D11" i="14"/>
  <c r="E11" i="14" s="1"/>
  <c r="D12" i="14"/>
  <c r="E12" i="14" s="1"/>
  <c r="D13" i="14"/>
  <c r="E13" i="14" s="1"/>
  <c r="D14" i="14"/>
  <c r="E14" i="14" s="1"/>
  <c r="D15" i="14"/>
  <c r="E15" i="14" s="1"/>
  <c r="D16" i="14"/>
  <c r="E16" i="14" s="1"/>
  <c r="D17" i="14"/>
  <c r="E17" i="14" s="1"/>
  <c r="B31" i="14"/>
  <c r="C31" i="14"/>
  <c r="D31" i="14"/>
  <c r="E31" i="14"/>
  <c r="F31" i="14"/>
  <c r="B32" i="14"/>
  <c r="C32" i="14"/>
  <c r="D32" i="14"/>
  <c r="E32" i="14"/>
  <c r="F32" i="14"/>
  <c r="B33" i="14"/>
  <c r="C33" i="14"/>
  <c r="D33" i="14"/>
  <c r="E33" i="14"/>
  <c r="F33" i="14"/>
  <c r="B34" i="14"/>
  <c r="C34" i="14"/>
  <c r="D34" i="14"/>
  <c r="E34" i="14"/>
  <c r="F34" i="14"/>
  <c r="B35" i="14"/>
  <c r="C35" i="14"/>
  <c r="D35" i="14"/>
  <c r="E35" i="14"/>
  <c r="F35" i="14"/>
  <c r="G67" i="12"/>
  <c r="G68" i="12"/>
  <c r="G23" i="8"/>
  <c r="G9" i="8"/>
  <c r="G7" i="7"/>
  <c r="G7" i="6"/>
  <c r="G15" i="6" s="1"/>
  <c r="G21" i="8"/>
  <c r="G8" i="8"/>
  <c r="G5" i="7"/>
  <c r="G5" i="6"/>
  <c r="G13" i="4"/>
  <c r="G22" i="8"/>
  <c r="G11" i="8"/>
  <c r="G6" i="7"/>
  <c r="G6" i="6"/>
  <c r="G14" i="6" s="1"/>
  <c r="H28" i="15"/>
  <c r="I161" i="2"/>
  <c r="H229" i="2" s="1"/>
  <c r="G41" i="5" l="1"/>
  <c r="H162" i="2"/>
  <c r="H163" i="2" s="1"/>
  <c r="H58" i="5"/>
  <c r="F29" i="9"/>
  <c r="F31" i="9"/>
  <c r="G5" i="12" s="1"/>
  <c r="G7" i="12" s="1"/>
  <c r="G129" i="12"/>
  <c r="G131" i="12" s="1"/>
  <c r="G132" i="12" s="1"/>
  <c r="G58" i="12"/>
  <c r="G59" i="12" s="1"/>
  <c r="F28" i="1"/>
  <c r="F14" i="13"/>
  <c r="G14" i="13"/>
  <c r="B21" i="13"/>
  <c r="G10" i="6"/>
  <c r="G13" i="6"/>
  <c r="G18" i="6" s="1"/>
  <c r="G40" i="15"/>
  <c r="G41" i="15" s="1"/>
  <c r="G95" i="15"/>
  <c r="G96" i="15" s="1"/>
  <c r="G55" i="5"/>
  <c r="G36" i="6"/>
  <c r="G15" i="7"/>
  <c r="G14" i="8"/>
  <c r="G16" i="8" s="1"/>
  <c r="G15" i="8"/>
  <c r="G28" i="8"/>
  <c r="G17" i="9" s="1"/>
  <c r="G4" i="9"/>
  <c r="G97" i="15"/>
  <c r="H76" i="12"/>
  <c r="H77" i="12" s="1"/>
  <c r="H79" i="12" s="1"/>
  <c r="G25" i="1"/>
  <c r="G14" i="4"/>
  <c r="G15" i="4"/>
  <c r="H34" i="15"/>
  <c r="H59" i="5" s="1"/>
  <c r="H230" i="2"/>
  <c r="H30" i="15"/>
  <c r="G25" i="8"/>
  <c r="G9" i="7"/>
  <c r="G8" i="12" l="1"/>
  <c r="B47" i="13"/>
  <c r="B21" i="12"/>
  <c r="B13" i="1" s="1"/>
  <c r="G10" i="12"/>
  <c r="B32" i="12" s="1"/>
  <c r="B17" i="1" s="1"/>
  <c r="G11" i="12"/>
  <c r="G14" i="12"/>
  <c r="G15" i="12" s="1"/>
  <c r="G120" i="12"/>
  <c r="G121" i="12" s="1"/>
  <c r="G122" i="12" s="1"/>
  <c r="G60" i="12"/>
  <c r="C21" i="13"/>
  <c r="D21" i="13" s="1"/>
  <c r="E21" i="13"/>
  <c r="G22" i="6"/>
  <c r="G25" i="6"/>
  <c r="G26" i="6"/>
  <c r="G27" i="6"/>
  <c r="G28" i="6"/>
  <c r="G29" i="6"/>
  <c r="G32" i="6"/>
  <c r="G21" i="6"/>
  <c r="G37" i="6"/>
  <c r="G48" i="15"/>
  <c r="G46" i="15"/>
  <c r="G47" i="15" s="1"/>
  <c r="G40" i="6"/>
  <c r="G18" i="8"/>
  <c r="G42" i="15"/>
  <c r="I78" i="12"/>
  <c r="H81" i="12"/>
  <c r="H82" i="12" s="1"/>
  <c r="H130" i="12"/>
  <c r="H165" i="2"/>
  <c r="H167" i="2" s="1"/>
  <c r="H26" i="15"/>
  <c r="H241" i="2"/>
  <c r="H243" i="2" s="1"/>
  <c r="H244" i="2" s="1"/>
  <c r="H231" i="2"/>
  <c r="H31" i="15"/>
  <c r="H92" i="15"/>
  <c r="H35" i="15"/>
  <c r="G11" i="7"/>
  <c r="G11" i="9"/>
  <c r="G5" i="9"/>
  <c r="G7" i="9" s="1"/>
  <c r="G27" i="7"/>
  <c r="G29" i="7" s="1"/>
  <c r="G12" i="7"/>
  <c r="B23" i="12" l="1"/>
  <c r="B24" i="12"/>
  <c r="B34" i="12" s="1"/>
  <c r="B25" i="12"/>
  <c r="B20" i="12"/>
  <c r="G62" i="12"/>
  <c r="G63" i="12" s="1"/>
  <c r="B29" i="12"/>
  <c r="G133" i="12"/>
  <c r="B134" i="12" s="1"/>
  <c r="C111" i="12" s="1"/>
  <c r="G123" i="12"/>
  <c r="B124" i="12" s="1"/>
  <c r="B111" i="12" s="1"/>
  <c r="G38" i="6"/>
  <c r="G41" i="6" s="1"/>
  <c r="G39" i="6"/>
  <c r="G50" i="15"/>
  <c r="G44" i="15"/>
  <c r="G49" i="15"/>
  <c r="G51" i="15"/>
  <c r="H240" i="2"/>
  <c r="H22" i="15"/>
  <c r="H36" i="15"/>
  <c r="H60" i="5"/>
  <c r="G13" i="9"/>
  <c r="G8" i="9"/>
  <c r="G10" i="9"/>
  <c r="G31" i="8"/>
  <c r="G32" i="8" s="1"/>
  <c r="B30" i="12" l="1"/>
  <c r="B15" i="1"/>
  <c r="B12" i="1"/>
  <c r="B31" i="12"/>
  <c r="B18" i="1" s="1"/>
  <c r="B146" i="12"/>
  <c r="E155" i="12" s="1"/>
  <c r="H150" i="12"/>
  <c r="F150" i="12"/>
  <c r="D150" i="12"/>
  <c r="G150" i="12"/>
  <c r="E150" i="12"/>
  <c r="C150" i="12"/>
  <c r="B150" i="12"/>
  <c r="B143" i="12"/>
  <c r="B141" i="12"/>
  <c r="B70" i="12"/>
  <c r="B95" i="12" s="1"/>
  <c r="I224" i="2"/>
  <c r="H242" i="2"/>
  <c r="H23" i="15"/>
  <c r="H55" i="15"/>
  <c r="H61" i="15"/>
  <c r="H67" i="15"/>
  <c r="H73" i="15"/>
  <c r="H79" i="15"/>
  <c r="G14" i="9"/>
  <c r="G20" i="9"/>
  <c r="B33" i="12" l="1"/>
  <c r="B19" i="1" s="1"/>
  <c r="B20" i="1"/>
  <c r="B97" i="12"/>
  <c r="D97" i="12" s="1"/>
  <c r="D95" i="12"/>
  <c r="H19" i="8"/>
  <c r="H20" i="8"/>
  <c r="H17" i="6"/>
  <c r="H57" i="15"/>
  <c r="H59" i="15"/>
  <c r="H58" i="15"/>
  <c r="H56" i="15"/>
  <c r="H85" i="15"/>
  <c r="I103" i="15"/>
  <c r="I110" i="15"/>
  <c r="H7" i="5"/>
  <c r="I226" i="2"/>
  <c r="J6" i="3"/>
  <c r="J7" i="3"/>
  <c r="J8" i="3"/>
  <c r="J9" i="3"/>
  <c r="H13" i="8" s="1"/>
  <c r="J10" i="3"/>
  <c r="H12" i="8" s="1"/>
  <c r="J21" i="3"/>
  <c r="H65" i="5"/>
  <c r="H65" i="15"/>
  <c r="H64" i="15"/>
  <c r="H63" i="15"/>
  <c r="H62" i="15"/>
  <c r="I104" i="15"/>
  <c r="I111" i="15"/>
  <c r="H12" i="5"/>
  <c r="J12" i="3"/>
  <c r="J13" i="3"/>
  <c r="J14" i="3"/>
  <c r="J15" i="3"/>
  <c r="J16" i="3"/>
  <c r="H66" i="5"/>
  <c r="H71" i="15"/>
  <c r="H70" i="15"/>
  <c r="H69" i="15"/>
  <c r="H68" i="15"/>
  <c r="I106" i="15"/>
  <c r="I113" i="15"/>
  <c r="J18" i="3"/>
  <c r="J20" i="3"/>
  <c r="H17" i="5"/>
  <c r="H67" i="5"/>
  <c r="H77" i="15"/>
  <c r="H76" i="15"/>
  <c r="H75" i="15"/>
  <c r="H74" i="15"/>
  <c r="J19" i="3"/>
  <c r="J22" i="3"/>
  <c r="H22" i="5"/>
  <c r="H83" i="15"/>
  <c r="H82" i="15"/>
  <c r="H81" i="15"/>
  <c r="H80" i="15"/>
  <c r="I105" i="15"/>
  <c r="I112" i="15"/>
  <c r="J24" i="3"/>
  <c r="H11" i="4" s="1"/>
  <c r="H26" i="5"/>
  <c r="H68" i="5"/>
  <c r="G21" i="9"/>
  <c r="G25" i="9"/>
  <c r="C47" i="13"/>
  <c r="D47" i="13" s="1"/>
  <c r="G26" i="1"/>
  <c r="G27" i="1" s="1"/>
  <c r="G29" i="1" s="1"/>
  <c r="H36" i="5" l="1"/>
  <c r="H61" i="5"/>
  <c r="H9" i="5"/>
  <c r="H8" i="5"/>
  <c r="H47" i="5"/>
  <c r="H52" i="5"/>
  <c r="I227" i="2"/>
  <c r="I27" i="15"/>
  <c r="H14" i="5"/>
  <c r="H13" i="5"/>
  <c r="H48" i="5"/>
  <c r="H19" i="5"/>
  <c r="H18" i="5"/>
  <c r="H49" i="5"/>
  <c r="H53" i="5"/>
  <c r="H24" i="5"/>
  <c r="H23" i="5"/>
  <c r="H50" i="5"/>
  <c r="H8" i="6"/>
  <c r="H16" i="6" s="1"/>
  <c r="H8" i="7"/>
  <c r="H10" i="8"/>
  <c r="H24" i="8"/>
  <c r="H28" i="5"/>
  <c r="H27" i="5"/>
  <c r="H51" i="5"/>
  <c r="G26" i="9"/>
  <c r="G28" i="9"/>
  <c r="F47" i="13"/>
  <c r="E47" i="13"/>
  <c r="H10" i="4"/>
  <c r="H86" i="15"/>
  <c r="H88" i="15"/>
  <c r="H87" i="15"/>
  <c r="H8" i="4"/>
  <c r="H69" i="5"/>
  <c r="H72" i="5" s="1"/>
  <c r="H9" i="4"/>
  <c r="H42" i="5" l="1"/>
  <c r="H39" i="5"/>
  <c r="H43" i="5" s="1"/>
  <c r="H54" i="5"/>
  <c r="H44" i="5"/>
  <c r="H45" i="5"/>
  <c r="I33" i="15"/>
  <c r="I93" i="15"/>
  <c r="G29" i="9"/>
  <c r="G31" i="9"/>
  <c r="H5" i="12" s="1"/>
  <c r="H7" i="12" s="1"/>
  <c r="H129" i="12"/>
  <c r="H131" i="12" s="1"/>
  <c r="H132" i="12" s="1"/>
  <c r="G28" i="1"/>
  <c r="H58" i="12"/>
  <c r="H59" i="12" s="1"/>
  <c r="H23" i="8"/>
  <c r="H9" i="8"/>
  <c r="H7" i="7"/>
  <c r="H7" i="6"/>
  <c r="H15" i="6" s="1"/>
  <c r="H21" i="8"/>
  <c r="H8" i="8"/>
  <c r="H5" i="7"/>
  <c r="H5" i="6"/>
  <c r="H13" i="4"/>
  <c r="H22" i="8"/>
  <c r="H11" i="8"/>
  <c r="H6" i="7"/>
  <c r="H6" i="6"/>
  <c r="H14" i="6" s="1"/>
  <c r="I28" i="15"/>
  <c r="J161" i="2"/>
  <c r="I229" i="2" s="1"/>
  <c r="H41" i="5" l="1"/>
  <c r="I162" i="2"/>
  <c r="I163" i="2" s="1"/>
  <c r="I58" i="5"/>
  <c r="B48" i="13"/>
  <c r="H8" i="12"/>
  <c r="H11" i="12"/>
  <c r="H14" i="12"/>
  <c r="H15" i="12" s="1"/>
  <c r="H60" i="12"/>
  <c r="H120" i="12"/>
  <c r="H121" i="12" s="1"/>
  <c r="H122" i="12" s="1"/>
  <c r="H10" i="6"/>
  <c r="H13" i="6"/>
  <c r="H18" i="6" s="1"/>
  <c r="H40" i="15"/>
  <c r="H41" i="15" s="1"/>
  <c r="H95" i="15"/>
  <c r="H96" i="15" s="1"/>
  <c r="H55" i="5"/>
  <c r="H36" i="6"/>
  <c r="H15" i="7"/>
  <c r="H14" i="8"/>
  <c r="H16" i="8" s="1"/>
  <c r="H15" i="8"/>
  <c r="H28" i="8"/>
  <c r="H17" i="9" s="1"/>
  <c r="H4" i="9"/>
  <c r="H97" i="15"/>
  <c r="I76" i="12"/>
  <c r="I77" i="12" s="1"/>
  <c r="I79" i="12" s="1"/>
  <c r="H25" i="1"/>
  <c r="H14" i="4"/>
  <c r="H15" i="4"/>
  <c r="I34" i="15"/>
  <c r="I59" i="5" s="1"/>
  <c r="I230" i="2"/>
  <c r="I30" i="15"/>
  <c r="H25" i="8"/>
  <c r="H9" i="7"/>
  <c r="H62" i="12" l="1"/>
  <c r="H63" i="12" s="1"/>
  <c r="H22" i="6"/>
  <c r="H25" i="6"/>
  <c r="H26" i="6"/>
  <c r="H27" i="6"/>
  <c r="H28" i="6"/>
  <c r="H29" i="6"/>
  <c r="H32" i="6"/>
  <c r="H21" i="6"/>
  <c r="H37" i="6"/>
  <c r="H48" i="15"/>
  <c r="H46" i="15"/>
  <c r="H47" i="15" s="1"/>
  <c r="H40" i="6"/>
  <c r="H18" i="8"/>
  <c r="H42" i="15"/>
  <c r="J78" i="12"/>
  <c r="I81" i="12"/>
  <c r="I82" i="12" s="1"/>
  <c r="I130" i="12"/>
  <c r="I165" i="2"/>
  <c r="I167" i="2" s="1"/>
  <c r="I26" i="15"/>
  <c r="I241" i="2"/>
  <c r="I243" i="2" s="1"/>
  <c r="I244" i="2" s="1"/>
  <c r="I231" i="2"/>
  <c r="I31" i="15"/>
  <c r="I92" i="15"/>
  <c r="I35" i="15"/>
  <c r="H11" i="7"/>
  <c r="H11" i="9"/>
  <c r="H5" i="9"/>
  <c r="H7" i="9" s="1"/>
  <c r="H27" i="7"/>
  <c r="H29" i="7" s="1"/>
  <c r="H12" i="7"/>
  <c r="H38" i="6" l="1"/>
  <c r="H41" i="6" s="1"/>
  <c r="H39" i="6"/>
  <c r="H50" i="15"/>
  <c r="H44" i="15"/>
  <c r="H49" i="15"/>
  <c r="H51" i="15"/>
  <c r="I240" i="2"/>
  <c r="I22" i="15"/>
  <c r="I36" i="15"/>
  <c r="I60" i="5"/>
  <c r="H13" i="9"/>
  <c r="H8" i="9"/>
  <c r="H10" i="9"/>
  <c r="H31" i="8"/>
  <c r="H32" i="8" s="1"/>
  <c r="J224" i="2" l="1"/>
  <c r="I242" i="2"/>
  <c r="I23" i="15"/>
  <c r="I55" i="15"/>
  <c r="I61" i="15"/>
  <c r="I67" i="15"/>
  <c r="I73" i="15"/>
  <c r="I79" i="15"/>
  <c r="H14" i="9"/>
  <c r="H20" i="9"/>
  <c r="I19" i="8" l="1"/>
  <c r="I20" i="8"/>
  <c r="I17" i="6"/>
  <c r="I59" i="15"/>
  <c r="I58" i="15"/>
  <c r="I57" i="15"/>
  <c r="I56" i="15"/>
  <c r="I85" i="15"/>
  <c r="J103" i="15"/>
  <c r="J110" i="15"/>
  <c r="I7" i="5"/>
  <c r="J226" i="2"/>
  <c r="K6" i="3"/>
  <c r="K7" i="3"/>
  <c r="K8" i="3"/>
  <c r="K9" i="3"/>
  <c r="I13" i="8" s="1"/>
  <c r="K10" i="3"/>
  <c r="I12" i="8" s="1"/>
  <c r="K21" i="3"/>
  <c r="I65" i="5"/>
  <c r="I65" i="15"/>
  <c r="I64" i="15"/>
  <c r="I63" i="15"/>
  <c r="I62" i="15"/>
  <c r="J104" i="15"/>
  <c r="J111" i="15"/>
  <c r="I12" i="5"/>
  <c r="K12" i="3"/>
  <c r="K13" i="3"/>
  <c r="K14" i="3"/>
  <c r="K15" i="3"/>
  <c r="K16" i="3"/>
  <c r="I66" i="5"/>
  <c r="I71" i="15"/>
  <c r="I70" i="15"/>
  <c r="I69" i="15"/>
  <c r="I68" i="15"/>
  <c r="J106" i="15"/>
  <c r="J113" i="15"/>
  <c r="K18" i="3"/>
  <c r="I10" i="4" s="1"/>
  <c r="K20" i="3"/>
  <c r="I17" i="5"/>
  <c r="I67" i="5"/>
  <c r="I76" i="15"/>
  <c r="I75" i="15"/>
  <c r="I77" i="15"/>
  <c r="I74" i="15"/>
  <c r="K19" i="3"/>
  <c r="K22" i="3"/>
  <c r="I22" i="5"/>
  <c r="I83" i="15"/>
  <c r="I82" i="15"/>
  <c r="I81" i="15"/>
  <c r="I80" i="15"/>
  <c r="J105" i="15"/>
  <c r="J112" i="15"/>
  <c r="K24" i="3"/>
  <c r="I11" i="4" s="1"/>
  <c r="I26" i="5"/>
  <c r="I68" i="5"/>
  <c r="H21" i="9"/>
  <c r="H25" i="9"/>
  <c r="B15" i="13"/>
  <c r="C48" i="13"/>
  <c r="D48" i="13" s="1"/>
  <c r="H26" i="1"/>
  <c r="H27" i="1" s="1"/>
  <c r="H29" i="1" s="1"/>
  <c r="I36" i="5" l="1"/>
  <c r="I61" i="5"/>
  <c r="I9" i="5"/>
  <c r="I8" i="5"/>
  <c r="I47" i="5"/>
  <c r="I52" i="5"/>
  <c r="J227" i="2"/>
  <c r="J27" i="15"/>
  <c r="I14" i="5"/>
  <c r="I13" i="5"/>
  <c r="I48" i="5"/>
  <c r="I7" i="6"/>
  <c r="I15" i="6" s="1"/>
  <c r="I7" i="7"/>
  <c r="I9" i="8"/>
  <c r="I23" i="8"/>
  <c r="I19" i="5"/>
  <c r="I18" i="5"/>
  <c r="I49" i="5"/>
  <c r="I53" i="5"/>
  <c r="I24" i="5"/>
  <c r="I23" i="5"/>
  <c r="I50" i="5"/>
  <c r="I8" i="6"/>
  <c r="I16" i="6" s="1"/>
  <c r="I8" i="7"/>
  <c r="I10" i="8"/>
  <c r="I24" i="8"/>
  <c r="I28" i="5"/>
  <c r="I27" i="5"/>
  <c r="I51" i="5"/>
  <c r="H26" i="9"/>
  <c r="H28" i="9"/>
  <c r="C15" i="13"/>
  <c r="D15" i="13"/>
  <c r="E15" i="13"/>
  <c r="B29" i="13"/>
  <c r="C29" i="13"/>
  <c r="D29" i="13"/>
  <c r="E29" i="13"/>
  <c r="F29" i="13"/>
  <c r="F48" i="13"/>
  <c r="E48" i="13"/>
  <c r="I88" i="15"/>
  <c r="I87" i="15"/>
  <c r="I86" i="15"/>
  <c r="I8" i="4"/>
  <c r="I69" i="5"/>
  <c r="I72" i="5" s="1"/>
  <c r="I9" i="4"/>
  <c r="I42" i="5" l="1"/>
  <c r="I54" i="5"/>
  <c r="I39" i="5"/>
  <c r="I43" i="5" s="1"/>
  <c r="I44" i="5"/>
  <c r="I45" i="5"/>
  <c r="J33" i="15"/>
  <c r="J93" i="15"/>
  <c r="H29" i="9"/>
  <c r="H31" i="9"/>
  <c r="I5" i="12" s="1"/>
  <c r="I7" i="12" s="1"/>
  <c r="I129" i="12"/>
  <c r="I131" i="12" s="1"/>
  <c r="I132" i="12" s="1"/>
  <c r="H28" i="1"/>
  <c r="I58" i="12"/>
  <c r="I59" i="12" s="1"/>
  <c r="F15" i="13"/>
  <c r="G15" i="13"/>
  <c r="B22" i="13"/>
  <c r="I21" i="8"/>
  <c r="I8" i="8"/>
  <c r="I5" i="7"/>
  <c r="I5" i="6"/>
  <c r="I13" i="4"/>
  <c r="I22" i="8"/>
  <c r="I11" i="8"/>
  <c r="I6" i="7"/>
  <c r="I6" i="6"/>
  <c r="I14" i="6" s="1"/>
  <c r="J28" i="15"/>
  <c r="K161" i="2"/>
  <c r="J229" i="2" s="1"/>
  <c r="I41" i="5" l="1"/>
  <c r="J162" i="2"/>
  <c r="J163" i="2" s="1"/>
  <c r="J58" i="5"/>
  <c r="B49" i="13"/>
  <c r="I8" i="12"/>
  <c r="I11" i="12"/>
  <c r="I14" i="12"/>
  <c r="I15" i="12" s="1"/>
  <c r="I60" i="12"/>
  <c r="I120" i="12"/>
  <c r="I121" i="12" s="1"/>
  <c r="I122" i="12" s="1"/>
  <c r="C22" i="13"/>
  <c r="D22" i="13" s="1"/>
  <c r="E22" i="13"/>
  <c r="I10" i="6"/>
  <c r="I13" i="6"/>
  <c r="I18" i="6" s="1"/>
  <c r="I40" i="15"/>
  <c r="I41" i="15" s="1"/>
  <c r="I95" i="15"/>
  <c r="I96" i="15" s="1"/>
  <c r="I55" i="5"/>
  <c r="I36" i="6"/>
  <c r="I15" i="7"/>
  <c r="I14" i="8"/>
  <c r="I16" i="8" s="1"/>
  <c r="I15" i="8"/>
  <c r="I28" i="8"/>
  <c r="I17" i="9" s="1"/>
  <c r="I4" i="9"/>
  <c r="I97" i="15"/>
  <c r="J76" i="12"/>
  <c r="J77" i="12" s="1"/>
  <c r="J79" i="12" s="1"/>
  <c r="I25" i="1"/>
  <c r="I14" i="4"/>
  <c r="I15" i="4"/>
  <c r="J34" i="15"/>
  <c r="J59" i="5" s="1"/>
  <c r="J230" i="2"/>
  <c r="J30" i="15"/>
  <c r="I25" i="8"/>
  <c r="I9" i="7"/>
  <c r="I62" i="12" l="1"/>
  <c r="I63" i="12" s="1"/>
  <c r="I22" i="6"/>
  <c r="I25" i="6"/>
  <c r="I26" i="6"/>
  <c r="I27" i="6"/>
  <c r="I28" i="6"/>
  <c r="I29" i="6"/>
  <c r="I32" i="6"/>
  <c r="I21" i="6"/>
  <c r="I37" i="6"/>
  <c r="I48" i="15"/>
  <c r="I46" i="15"/>
  <c r="I47" i="15" s="1"/>
  <c r="I40" i="6"/>
  <c r="I18" i="8"/>
  <c r="I42" i="15"/>
  <c r="K78" i="12"/>
  <c r="J81" i="12"/>
  <c r="J82" i="12" s="1"/>
  <c r="J130" i="12"/>
  <c r="J165" i="2"/>
  <c r="J167" i="2" s="1"/>
  <c r="J26" i="15"/>
  <c r="J241" i="2"/>
  <c r="J243" i="2" s="1"/>
  <c r="J244" i="2" s="1"/>
  <c r="J231" i="2"/>
  <c r="J31" i="15"/>
  <c r="J92" i="15"/>
  <c r="J35" i="15"/>
  <c r="I11" i="7"/>
  <c r="I11" i="9"/>
  <c r="I5" i="9"/>
  <c r="I7" i="9" s="1"/>
  <c r="I27" i="7"/>
  <c r="I29" i="7" s="1"/>
  <c r="I12" i="7"/>
  <c r="H151" i="12" l="1"/>
  <c r="G151" i="12"/>
  <c r="D151" i="12"/>
  <c r="F151" i="12"/>
  <c r="E151" i="12"/>
  <c r="C151" i="12"/>
  <c r="B151" i="12"/>
  <c r="I38" i="6"/>
  <c r="I41" i="6" s="1"/>
  <c r="I39" i="6"/>
  <c r="I50" i="15"/>
  <c r="I44" i="15"/>
  <c r="I49" i="15"/>
  <c r="I51" i="15"/>
  <c r="J240" i="2"/>
  <c r="J22" i="15"/>
  <c r="J36" i="15"/>
  <c r="J60" i="5"/>
  <c r="I13" i="9"/>
  <c r="I8" i="9"/>
  <c r="I10" i="9"/>
  <c r="I31" i="8"/>
  <c r="I32" i="8" s="1"/>
  <c r="K224" i="2" l="1"/>
  <c r="J242" i="2"/>
  <c r="J23" i="15"/>
  <c r="J55" i="15"/>
  <c r="J61" i="15"/>
  <c r="J67" i="15"/>
  <c r="J73" i="15"/>
  <c r="J79" i="15"/>
  <c r="I14" i="9"/>
  <c r="I20" i="9"/>
  <c r="J19" i="8" l="1"/>
  <c r="J20" i="8"/>
  <c r="J17" i="6"/>
  <c r="J59" i="15"/>
  <c r="J58" i="15"/>
  <c r="J57" i="15"/>
  <c r="J56" i="15"/>
  <c r="J85" i="15"/>
  <c r="K103" i="15"/>
  <c r="K110" i="15"/>
  <c r="J7" i="5"/>
  <c r="K226" i="2"/>
  <c r="L6" i="3"/>
  <c r="L7" i="3"/>
  <c r="L8" i="3"/>
  <c r="L9" i="3"/>
  <c r="J13" i="8" s="1"/>
  <c r="L10" i="3"/>
  <c r="J12" i="8" s="1"/>
  <c r="L21" i="3"/>
  <c r="J65" i="5"/>
  <c r="J65" i="15"/>
  <c r="J64" i="15"/>
  <c r="J63" i="15"/>
  <c r="J62" i="15"/>
  <c r="K104" i="15"/>
  <c r="K111" i="15"/>
  <c r="J12" i="5"/>
  <c r="L12" i="3"/>
  <c r="L13" i="3"/>
  <c r="L14" i="3"/>
  <c r="L15" i="3"/>
  <c r="L16" i="3"/>
  <c r="J66" i="5"/>
  <c r="J70" i="15"/>
  <c r="J69" i="15"/>
  <c r="J71" i="15"/>
  <c r="J68" i="15"/>
  <c r="K106" i="15"/>
  <c r="K113" i="15"/>
  <c r="L18" i="3"/>
  <c r="L20" i="3"/>
  <c r="J17" i="5"/>
  <c r="J67" i="5"/>
  <c r="J77" i="15"/>
  <c r="J76" i="15"/>
  <c r="J75" i="15"/>
  <c r="J74" i="15"/>
  <c r="L19" i="3"/>
  <c r="L22" i="3"/>
  <c r="J22" i="5"/>
  <c r="J83" i="15"/>
  <c r="J82" i="15"/>
  <c r="J81" i="15"/>
  <c r="J80" i="15"/>
  <c r="K105" i="15"/>
  <c r="K112" i="15"/>
  <c r="L24" i="3"/>
  <c r="J11" i="4" s="1"/>
  <c r="J26" i="5"/>
  <c r="J68" i="5"/>
  <c r="I21" i="9"/>
  <c r="I25" i="9"/>
  <c r="C49" i="13"/>
  <c r="D49" i="13" s="1"/>
  <c r="I26" i="1"/>
  <c r="I27" i="1" s="1"/>
  <c r="I29" i="1" s="1"/>
  <c r="J36" i="5" l="1"/>
  <c r="J61" i="5"/>
  <c r="J9" i="5"/>
  <c r="J8" i="5"/>
  <c r="J47" i="5"/>
  <c r="J52" i="5"/>
  <c r="K227" i="2"/>
  <c r="K27" i="15"/>
  <c r="J14" i="5"/>
  <c r="J13" i="5"/>
  <c r="J48" i="5"/>
  <c r="J19" i="5"/>
  <c r="J18" i="5"/>
  <c r="J49" i="5"/>
  <c r="J53" i="5"/>
  <c r="J24" i="5"/>
  <c r="J23" i="5"/>
  <c r="J50" i="5"/>
  <c r="J8" i="6"/>
  <c r="J16" i="6" s="1"/>
  <c r="J8" i="7"/>
  <c r="J10" i="8"/>
  <c r="J24" i="8"/>
  <c r="J28" i="5"/>
  <c r="J27" i="5"/>
  <c r="J51" i="5"/>
  <c r="I26" i="9"/>
  <c r="I28" i="9"/>
  <c r="F49" i="13"/>
  <c r="E49" i="13"/>
  <c r="J10" i="4"/>
  <c r="J88" i="15"/>
  <c r="J87" i="15"/>
  <c r="J86" i="15"/>
  <c r="J8" i="4"/>
  <c r="J69" i="5"/>
  <c r="J72" i="5" s="1"/>
  <c r="J9" i="4"/>
  <c r="J42" i="5" l="1"/>
  <c r="J39" i="5"/>
  <c r="J43" i="5" s="1"/>
  <c r="J54" i="5"/>
  <c r="J44" i="5"/>
  <c r="J45" i="5"/>
  <c r="K33" i="15"/>
  <c r="K93" i="15"/>
  <c r="I29" i="9"/>
  <c r="I31" i="9"/>
  <c r="J5" i="12" s="1"/>
  <c r="J7" i="12" s="1"/>
  <c r="J129" i="12"/>
  <c r="J131" i="12" s="1"/>
  <c r="J132" i="12" s="1"/>
  <c r="J58" i="12"/>
  <c r="J59" i="12" s="1"/>
  <c r="I28" i="1"/>
  <c r="J23" i="8"/>
  <c r="J9" i="8"/>
  <c r="J7" i="7"/>
  <c r="J7" i="6"/>
  <c r="J15" i="6" s="1"/>
  <c r="J21" i="8"/>
  <c r="J8" i="8"/>
  <c r="J5" i="7"/>
  <c r="J5" i="6"/>
  <c r="J13" i="4"/>
  <c r="J22" i="8"/>
  <c r="J11" i="8"/>
  <c r="J6" i="7"/>
  <c r="J6" i="6"/>
  <c r="J14" i="6" s="1"/>
  <c r="K28" i="15"/>
  <c r="L161" i="2"/>
  <c r="K229" i="2" s="1"/>
  <c r="J41" i="5" l="1"/>
  <c r="K162" i="2"/>
  <c r="K163" i="2" s="1"/>
  <c r="K58" i="5"/>
  <c r="B50" i="13"/>
  <c r="J8" i="12"/>
  <c r="J11" i="12"/>
  <c r="J14" i="12"/>
  <c r="J15" i="12" s="1"/>
  <c r="J60" i="12"/>
  <c r="J62" i="12" s="1"/>
  <c r="J63" i="12" s="1"/>
  <c r="J120" i="12"/>
  <c r="J121" i="12" s="1"/>
  <c r="J122" i="12" s="1"/>
  <c r="J10" i="6"/>
  <c r="J13" i="6"/>
  <c r="J18" i="6" s="1"/>
  <c r="J40" i="15"/>
  <c r="J41" i="15" s="1"/>
  <c r="J95" i="15"/>
  <c r="J96" i="15" s="1"/>
  <c r="J55" i="5"/>
  <c r="J36" i="6"/>
  <c r="J15" i="7"/>
  <c r="J14" i="8"/>
  <c r="J16" i="8" s="1"/>
  <c r="J15" i="8"/>
  <c r="J28" i="8"/>
  <c r="J17" i="9" s="1"/>
  <c r="J4" i="9"/>
  <c r="J97" i="15"/>
  <c r="K76" i="12"/>
  <c r="K77" i="12" s="1"/>
  <c r="K79" i="12" s="1"/>
  <c r="J25" i="1"/>
  <c r="J14" i="4"/>
  <c r="J15" i="4"/>
  <c r="K34" i="15"/>
  <c r="K59" i="5" s="1"/>
  <c r="K230" i="2"/>
  <c r="K30" i="15"/>
  <c r="J25" i="8"/>
  <c r="J9" i="7"/>
  <c r="J22" i="6" l="1"/>
  <c r="J25" i="6"/>
  <c r="J26" i="6"/>
  <c r="J27" i="6"/>
  <c r="J28" i="6"/>
  <c r="J29" i="6"/>
  <c r="J32" i="6"/>
  <c r="J21" i="6"/>
  <c r="J37" i="6"/>
  <c r="J48" i="15"/>
  <c r="J46" i="15"/>
  <c r="J47" i="15" s="1"/>
  <c r="J40" i="6"/>
  <c r="J18" i="8"/>
  <c r="J42" i="15"/>
  <c r="L78" i="12"/>
  <c r="K81" i="12"/>
  <c r="K82" i="12" s="1"/>
  <c r="K130" i="12"/>
  <c r="L165" i="2"/>
  <c r="L167" i="2" s="1"/>
  <c r="K165" i="2"/>
  <c r="K167" i="2" s="1"/>
  <c r="K26" i="15"/>
  <c r="K31" i="15" s="1"/>
  <c r="K241" i="2"/>
  <c r="K243" i="2" s="1"/>
  <c r="K244" i="2" s="1"/>
  <c r="K231" i="2"/>
  <c r="K92" i="15"/>
  <c r="K35" i="15"/>
  <c r="J11" i="7"/>
  <c r="J11" i="9"/>
  <c r="J5" i="9"/>
  <c r="J7" i="9" s="1"/>
  <c r="J27" i="7"/>
  <c r="J29" i="7" s="1"/>
  <c r="J12" i="7"/>
  <c r="J38" i="6" l="1"/>
  <c r="J41" i="6" s="1"/>
  <c r="J39" i="6"/>
  <c r="J50" i="15"/>
  <c r="J44" i="15"/>
  <c r="J49" i="15"/>
  <c r="J51" i="15"/>
  <c r="K240" i="2"/>
  <c r="K242" i="2" s="1"/>
  <c r="K22" i="15"/>
  <c r="K36" i="15"/>
  <c r="K60" i="5"/>
  <c r="J13" i="9"/>
  <c r="J8" i="9"/>
  <c r="J10" i="9"/>
  <c r="J31" i="8"/>
  <c r="J32" i="8" s="1"/>
  <c r="K19" i="8" l="1"/>
  <c r="K20" i="8"/>
  <c r="K17" i="6"/>
  <c r="K23" i="15"/>
  <c r="K55" i="15"/>
  <c r="K61" i="15"/>
  <c r="K67" i="15"/>
  <c r="K73" i="15"/>
  <c r="K79" i="15"/>
  <c r="J14" i="9"/>
  <c r="J20" i="9"/>
  <c r="K59" i="15" l="1"/>
  <c r="K58" i="15"/>
  <c r="K57" i="15"/>
  <c r="K56" i="15"/>
  <c r="K85" i="15"/>
  <c r="L103" i="15"/>
  <c r="L110" i="15"/>
  <c r="K7" i="5"/>
  <c r="M6" i="3"/>
  <c r="M7" i="3"/>
  <c r="M8" i="3"/>
  <c r="M9" i="3"/>
  <c r="K13" i="8" s="1"/>
  <c r="M10" i="3"/>
  <c r="K12" i="8" s="1"/>
  <c r="M21" i="3"/>
  <c r="K65" i="5"/>
  <c r="K65" i="15"/>
  <c r="K64" i="15"/>
  <c r="K63" i="15"/>
  <c r="K62" i="15"/>
  <c r="L104" i="15"/>
  <c r="L111" i="15"/>
  <c r="K12" i="5"/>
  <c r="M12" i="3"/>
  <c r="M13" i="3"/>
  <c r="M14" i="3"/>
  <c r="M15" i="3"/>
  <c r="M16" i="3"/>
  <c r="K66" i="5"/>
  <c r="K71" i="15"/>
  <c r="K70" i="15"/>
  <c r="K69" i="15"/>
  <c r="K68" i="15"/>
  <c r="L106" i="15"/>
  <c r="L113" i="15"/>
  <c r="M18" i="3"/>
  <c r="K10" i="4" s="1"/>
  <c r="M20" i="3"/>
  <c r="K17" i="5"/>
  <c r="K67" i="5"/>
  <c r="K77" i="15"/>
  <c r="K76" i="15"/>
  <c r="K75" i="15"/>
  <c r="K74" i="15"/>
  <c r="M19" i="3"/>
  <c r="M22" i="3"/>
  <c r="K22" i="5"/>
  <c r="K83" i="15"/>
  <c r="K82" i="15"/>
  <c r="K81" i="15"/>
  <c r="K80" i="15"/>
  <c r="L105" i="15"/>
  <c r="L112" i="15"/>
  <c r="M24" i="3"/>
  <c r="K11" i="4" s="1"/>
  <c r="K26" i="5"/>
  <c r="K68" i="5"/>
  <c r="J21" i="9"/>
  <c r="J25" i="9"/>
  <c r="C50" i="13"/>
  <c r="D50" i="13" s="1"/>
  <c r="J26" i="1"/>
  <c r="J27" i="1" s="1"/>
  <c r="J29" i="1" s="1"/>
  <c r="K36" i="5" l="1"/>
  <c r="K61" i="5"/>
  <c r="K9" i="5"/>
  <c r="K8" i="5"/>
  <c r="K47" i="5"/>
  <c r="K52" i="5"/>
  <c r="K14" i="5"/>
  <c r="K13" i="5"/>
  <c r="K48" i="5"/>
  <c r="K7" i="6"/>
  <c r="K15" i="6" s="1"/>
  <c r="K7" i="7"/>
  <c r="K9" i="8"/>
  <c r="K23" i="8"/>
  <c r="K19" i="5"/>
  <c r="K18" i="5"/>
  <c r="K49" i="5"/>
  <c r="K53" i="5"/>
  <c r="K24" i="5"/>
  <c r="K23" i="5"/>
  <c r="K50" i="5"/>
  <c r="K8" i="6"/>
  <c r="K16" i="6" s="1"/>
  <c r="K8" i="7"/>
  <c r="K10" i="8"/>
  <c r="K24" i="8"/>
  <c r="K28" i="5"/>
  <c r="K27" i="5"/>
  <c r="K51" i="5"/>
  <c r="J26" i="9"/>
  <c r="J28" i="9"/>
  <c r="F50" i="13"/>
  <c r="E50" i="13"/>
  <c r="K88" i="15"/>
  <c r="K87" i="15"/>
  <c r="K86" i="15"/>
  <c r="K8" i="4"/>
  <c r="K69" i="5"/>
  <c r="K72" i="5" s="1"/>
  <c r="K9" i="4"/>
  <c r="K42" i="5" l="1"/>
  <c r="K39" i="5"/>
  <c r="K43" i="5" s="1"/>
  <c r="K54" i="5"/>
  <c r="K44" i="5"/>
  <c r="K45" i="5"/>
  <c r="J29" i="9"/>
  <c r="J31" i="9"/>
  <c r="K5" i="12" s="1"/>
  <c r="K7" i="12" s="1"/>
  <c r="K129" i="12"/>
  <c r="K131" i="12" s="1"/>
  <c r="K132" i="12" s="1"/>
  <c r="J28" i="1"/>
  <c r="K58" i="12"/>
  <c r="K59" i="12" s="1"/>
  <c r="K13" i="4"/>
  <c r="K21" i="8"/>
  <c r="K8" i="8"/>
  <c r="K5" i="7"/>
  <c r="K5" i="6"/>
  <c r="K22" i="8"/>
  <c r="K11" i="8"/>
  <c r="K6" i="7"/>
  <c r="K6" i="6"/>
  <c r="K14" i="6" s="1"/>
  <c r="K41" i="5" l="1"/>
  <c r="L162" i="2"/>
  <c r="L163" i="2" s="1"/>
  <c r="B51" i="13"/>
  <c r="K8" i="12"/>
  <c r="K11" i="12"/>
  <c r="K14" i="12"/>
  <c r="K15" i="12" s="1"/>
  <c r="K60" i="12"/>
  <c r="K62" i="12" s="1"/>
  <c r="K63" i="12" s="1"/>
  <c r="K120" i="12"/>
  <c r="K121" i="12" s="1"/>
  <c r="K122" i="12" s="1"/>
  <c r="K40" i="15"/>
  <c r="K41" i="15" s="1"/>
  <c r="K95" i="15"/>
  <c r="K96" i="15" s="1"/>
  <c r="C58" i="1"/>
  <c r="D58" i="1" s="1"/>
  <c r="C58" i="14"/>
  <c r="D58" i="14" s="1"/>
  <c r="K14" i="4"/>
  <c r="K15" i="4"/>
  <c r="K55" i="5"/>
  <c r="K36" i="6"/>
  <c r="K15" i="7"/>
  <c r="K14" i="8"/>
  <c r="K16" i="8" s="1"/>
  <c r="K15" i="8"/>
  <c r="K28" i="8"/>
  <c r="K17" i="9" s="1"/>
  <c r="K4" i="9"/>
  <c r="F11" i="14"/>
  <c r="F12" i="14"/>
  <c r="F13" i="14"/>
  <c r="F14" i="14"/>
  <c r="F15" i="14"/>
  <c r="F16" i="14"/>
  <c r="F17" i="14"/>
  <c r="K97" i="15"/>
  <c r="L76" i="12"/>
  <c r="K25" i="1"/>
  <c r="K10" i="6"/>
  <c r="K13" i="6"/>
  <c r="K18" i="6" s="1"/>
  <c r="K25" i="8"/>
  <c r="K9" i="7"/>
  <c r="K46" i="15" l="1"/>
  <c r="K47" i="15" s="1"/>
  <c r="K48" i="15"/>
  <c r="K40" i="6"/>
  <c r="K18" i="8"/>
  <c r="K42" i="15"/>
  <c r="L77" i="12"/>
  <c r="L79" i="12" s="1"/>
  <c r="B85" i="12" s="1"/>
  <c r="K22" i="6"/>
  <c r="K25" i="6"/>
  <c r="K26" i="6"/>
  <c r="K27" i="6"/>
  <c r="K28" i="6"/>
  <c r="K29" i="6"/>
  <c r="K32" i="6"/>
  <c r="K21" i="6"/>
  <c r="K37" i="6"/>
  <c r="K11" i="7"/>
  <c r="K11" i="9"/>
  <c r="K5" i="9"/>
  <c r="K7" i="9" s="1"/>
  <c r="K27" i="7"/>
  <c r="K29" i="7" s="1"/>
  <c r="K12" i="7"/>
  <c r="K50" i="15" l="1"/>
  <c r="K44" i="15"/>
  <c r="K49" i="15"/>
  <c r="K51" i="15"/>
  <c r="C102" i="12"/>
  <c r="L81" i="12"/>
  <c r="L82" i="12" s="1"/>
  <c r="L130" i="12"/>
  <c r="C108" i="12" s="1"/>
  <c r="K38" i="6"/>
  <c r="K13" i="9"/>
  <c r="K8" i="9"/>
  <c r="K10" i="9"/>
  <c r="K31" i="8"/>
  <c r="K32" i="8" s="1"/>
  <c r="C96" i="12" l="1"/>
  <c r="C98" i="12" s="1"/>
  <c r="E158" i="12" s="1"/>
  <c r="B84" i="12"/>
  <c r="B86" i="12" a="1"/>
  <c r="B86" i="12" s="1"/>
  <c r="C99" i="12" s="1"/>
  <c r="K14" i="9"/>
  <c r="K20" i="9"/>
  <c r="K41" i="6"/>
  <c r="K39" i="6"/>
  <c r="K21" i="9" l="1"/>
  <c r="K25" i="9"/>
  <c r="B16" i="13"/>
  <c r="L9" i="12"/>
  <c r="C51" i="13"/>
  <c r="D51" i="13" s="1"/>
  <c r="B6" i="14"/>
  <c r="K26" i="1"/>
  <c r="K27" i="1" s="1"/>
  <c r="K29" i="1" s="1"/>
  <c r="L65" i="12"/>
  <c r="L66" i="12" s="1"/>
  <c r="K26" i="9" l="1"/>
  <c r="K28" i="9"/>
  <c r="C16" i="13"/>
  <c r="D16" i="13"/>
  <c r="E16" i="13"/>
  <c r="B30" i="13"/>
  <c r="C30" i="13"/>
  <c r="D30" i="13"/>
  <c r="E30" i="13"/>
  <c r="F30" i="13"/>
  <c r="E51" i="13"/>
  <c r="F51" i="13"/>
  <c r="G11" i="14"/>
  <c r="H11" i="14" s="1"/>
  <c r="G12" i="14"/>
  <c r="H12" i="14" s="1"/>
  <c r="G13" i="14"/>
  <c r="H13" i="14" s="1"/>
  <c r="G14" i="14"/>
  <c r="H14" i="14" s="1"/>
  <c r="G15" i="14"/>
  <c r="H15" i="14" s="1"/>
  <c r="G16" i="14"/>
  <c r="H16" i="14" s="1"/>
  <c r="G17" i="14"/>
  <c r="H17" i="14" s="1"/>
  <c r="L67" i="12"/>
  <c r="L68" i="12"/>
  <c r="K29" i="9" l="1"/>
  <c r="K31" i="9"/>
  <c r="L5" i="12" s="1"/>
  <c r="L7" i="12" s="1"/>
  <c r="L129" i="12"/>
  <c r="L58" i="12"/>
  <c r="L59" i="12" s="1"/>
  <c r="K28" i="1"/>
  <c r="F16" i="13"/>
  <c r="G16" i="13"/>
  <c r="B23" i="13"/>
  <c r="L8" i="12" l="1"/>
  <c r="C21" i="12"/>
  <c r="L11" i="12"/>
  <c r="C32" i="12" s="1"/>
  <c r="C17" i="1" s="1"/>
  <c r="L14" i="12"/>
  <c r="L15" i="12" s="1"/>
  <c r="C107" i="12"/>
  <c r="L131" i="12"/>
  <c r="L132" i="12" s="1"/>
  <c r="L120" i="12"/>
  <c r="L60" i="12"/>
  <c r="C23" i="13"/>
  <c r="D23" i="13" s="1"/>
  <c r="E23" i="13"/>
  <c r="C25" i="12" l="1"/>
  <c r="C24" i="12"/>
  <c r="C23" i="12"/>
  <c r="B52" i="1"/>
  <c r="B22" i="12" a="1"/>
  <c r="B22" i="12" s="1"/>
  <c r="B14" i="1" s="1"/>
  <c r="B51" i="14"/>
  <c r="G43" i="1"/>
  <c r="F5" i="1"/>
  <c r="C13" i="1"/>
  <c r="G37" i="1"/>
  <c r="I37" i="1" s="1"/>
  <c r="I41" i="1" s="1"/>
  <c r="E27" i="14"/>
  <c r="E26" i="14"/>
  <c r="E25" i="14"/>
  <c r="E24" i="14"/>
  <c r="E23" i="14"/>
  <c r="E22" i="14"/>
  <c r="E21" i="14"/>
  <c r="C20" i="12"/>
  <c r="B107" i="12"/>
  <c r="L121" i="12"/>
  <c r="L122" i="12" s="1"/>
  <c r="B102" i="12"/>
  <c r="D102" i="12" s="1"/>
  <c r="L62" i="12"/>
  <c r="L63" i="12" s="1"/>
  <c r="C29" i="12"/>
  <c r="L133" i="12"/>
  <c r="L123" i="12"/>
  <c r="B109" i="12" s="1"/>
  <c r="I43" i="1" l="1"/>
  <c r="C34" i="12"/>
  <c r="C30" i="12"/>
  <c r="C15" i="1"/>
  <c r="G44" i="1"/>
  <c r="G45" i="1"/>
  <c r="G46" i="1"/>
  <c r="G47" i="1"/>
  <c r="G48" i="1"/>
  <c r="G49" i="1"/>
  <c r="G50" i="1"/>
  <c r="G51" i="1"/>
  <c r="G52" i="1"/>
  <c r="G6" i="1"/>
  <c r="H6" i="1"/>
  <c r="I6" i="1"/>
  <c r="J6" i="1"/>
  <c r="K6" i="1"/>
  <c r="L6" i="1"/>
  <c r="M6" i="1"/>
  <c r="G7" i="1"/>
  <c r="H7" i="1"/>
  <c r="I7" i="1"/>
  <c r="J7" i="1"/>
  <c r="K7" i="1"/>
  <c r="L7" i="1"/>
  <c r="M7" i="1"/>
  <c r="G8" i="1"/>
  <c r="H8" i="1"/>
  <c r="I8" i="1"/>
  <c r="J8" i="1"/>
  <c r="K8" i="1"/>
  <c r="L8" i="1"/>
  <c r="M8" i="1"/>
  <c r="G9" i="1"/>
  <c r="H9" i="1"/>
  <c r="I9" i="1"/>
  <c r="J9" i="1"/>
  <c r="K9" i="1"/>
  <c r="L9" i="1"/>
  <c r="M9" i="1"/>
  <c r="G10" i="1"/>
  <c r="H10" i="1"/>
  <c r="I10" i="1"/>
  <c r="J10" i="1"/>
  <c r="K10" i="1"/>
  <c r="L10" i="1"/>
  <c r="M10" i="1"/>
  <c r="G11" i="1"/>
  <c r="H11" i="1"/>
  <c r="I11" i="1"/>
  <c r="J11" i="1"/>
  <c r="K11" i="1"/>
  <c r="L11" i="1"/>
  <c r="M11" i="1"/>
  <c r="G12" i="1"/>
  <c r="H12" i="1"/>
  <c r="I12" i="1"/>
  <c r="J12" i="1"/>
  <c r="K12" i="1"/>
  <c r="L12" i="1"/>
  <c r="M12" i="1"/>
  <c r="C12" i="1"/>
  <c r="C31" i="12"/>
  <c r="C18" i="1" s="1"/>
  <c r="H43" i="1"/>
  <c r="E156" i="12"/>
  <c r="B142" i="12"/>
  <c r="B71" i="12"/>
  <c r="B96" i="12" s="1"/>
  <c r="D152" i="12"/>
  <c r="E152" i="12"/>
  <c r="F152" i="12"/>
  <c r="G152" i="12"/>
  <c r="H152" i="12"/>
  <c r="B152" i="12"/>
  <c r="C152" i="12"/>
  <c r="B144" i="12"/>
  <c r="B99" i="12" a="1"/>
  <c r="B99" i="12" s="1"/>
  <c r="B135" i="12"/>
  <c r="C112" i="12" s="1"/>
  <c r="C109" i="12"/>
  <c r="B125" i="12"/>
  <c r="B112" i="12" s="1"/>
  <c r="I44" i="1" l="1"/>
  <c r="I45" i="1"/>
  <c r="I46" i="1"/>
  <c r="I47" i="1"/>
  <c r="I48" i="1"/>
  <c r="I49" i="1"/>
  <c r="I50" i="1"/>
  <c r="I51" i="1"/>
  <c r="I52" i="1"/>
  <c r="C33" i="12"/>
  <c r="C19" i="1" s="1"/>
  <c r="C20" i="1"/>
  <c r="H44" i="1"/>
  <c r="H45" i="1"/>
  <c r="H46" i="1"/>
  <c r="H47" i="1"/>
  <c r="H48" i="1"/>
  <c r="H49" i="1"/>
  <c r="H50" i="1"/>
  <c r="H51" i="1"/>
  <c r="H52" i="1"/>
  <c r="B98" i="12"/>
  <c r="D98" i="12" s="1"/>
  <c r="D96" i="12"/>
  <c r="B145" i="12"/>
  <c r="E157" i="12"/>
  <c r="C11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3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Microsoft Office User:
Source: DET Annual Visitor Report 2024 (70% weight) + elective healthcare adjustment (30% weight). DET Jan 2024: 1.77M visitors, index 1.135. HC correction: 1.05 (locals visit year-round). https://www.dubaidet.gov.ae/en/research-and-insights/annual-visitor-report-2024</t>
        </r>
      </text>
    </comment>
    <comment ref="C235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Microsoft Office User:
Source: DET 2024 Feb: 1.90M visitors, index 1.218. HC correction: 1.05. Blend: 1.218×0.7 + 1.05×0.3 = 1.195</t>
        </r>
      </text>
    </comment>
    <comment ref="D235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Microsoft Office User:
Source: DET 2024 Mar: 1.51M visitors, index 0.968. HC correction: 1.05 (Ramadan effect varies). Blend: 0.968×0.7 + 1.05×0.3 = 1.016. Previous model value 1.190 was unsupported.</t>
        </r>
      </text>
    </comment>
    <comment ref="E235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Microsoft Office User:
Source: DET 2024 Apr: 1.50M visitors, index 0.962. HC correction: 1.05. Blend = 1.011. Previous model value 1.117 was unsupported.</t>
        </r>
      </text>
    </comment>
    <comment ref="F235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Microsoft Office User:
Source: DET 2024 May: 1.44M visitors, index 0.923. HC correction: 0.90 (start of expat departure). Blend = 0.937</t>
        </r>
      </text>
    </comment>
    <comment ref="G235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Microsoft Office User:
Source: DET 2024 Jun: 1.19M visitors, index 0.763. HC correction: 0.60 (elective procedures deferred, expat families leave). Blend = 0.730</t>
        </r>
      </text>
    </comment>
    <comment ref="H235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Microsoft Office User:
Source: DET 2024 Jul: 1.31M visitors, index 0.840. HC correction: 0.60. Blend = 0.786. Previous 0.672 was too aggressive.</t>
        </r>
      </text>
    </comment>
    <comment ref="I235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Microsoft Office User:
Source: DET 2024 Aug: 1.31M visitors, index 0.840. HC correction: 0.60. Blend = 0.786</t>
        </r>
      </text>
    </comment>
    <comment ref="J235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Microsoft Office User:
Source: DET 2024 Sep: 1.36M visitors, index 0.872. HC correction: 0.85 (expats return, school starts). Blend = 0.885</t>
        </r>
      </text>
    </comment>
    <comment ref="K235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Microsoft Office User:
Source: DET 2024 Oct: 1.67M visitors, index 1.071. HC correction: 1.10. Blend = 1.105. Previous 1.190 was unsupported.</t>
        </r>
      </text>
    </comment>
    <comment ref="L235" authorId="0" shapeId="0" xr:uid="{00000000-0006-0000-0100-00000B000000}">
      <text>
        <r>
          <rPr>
            <sz val="11"/>
            <color theme="1"/>
            <rFont val="Calibri"/>
            <family val="2"/>
            <charset val="1"/>
          </rPr>
          <t>Microsoft Office User:
Source: DET 2024 Nov: 1.83M visitors, index 1.173. HC correction: 1.10. Blend = 1.177</t>
        </r>
      </text>
    </comment>
    <comment ref="M235" authorId="0" shapeId="0" xr:uid="{00000000-0006-0000-0100-00000C000000}">
      <text>
        <r>
          <rPr>
            <sz val="11"/>
            <color theme="1"/>
            <rFont val="Calibri"/>
            <family val="2"/>
            <charset val="1"/>
          </rPr>
          <t>Microsoft Office User:
Source: DET 2024 Dec: 1.93M visitors (peak month), index 1.237. HC correction: 1.15. Blend = 1.239</t>
        </r>
      </text>
    </comment>
    <comment ref="B236" authorId="0" shapeId="0" xr:uid="{00000000-0006-0000-0100-00000D000000}">
      <text>
        <r>
          <rPr>
            <sz val="11"/>
            <color theme="1"/>
            <rFont val="Calibri"/>
            <family val="2"/>
            <charset val="1"/>
          </rPr>
          <t>Microsoft Office User:
Marketing redistribution: Proportional to DET seasonality ×1.05 for winter months (higher marketing ROI when demand is high)</t>
        </r>
      </text>
    </comment>
    <comment ref="G236" authorId="0" shapeId="0" xr:uid="{00000000-0006-0000-0100-00000E000000}">
      <text>
        <r>
          <rPr>
            <sz val="11"/>
            <color theme="1"/>
            <rFont val="Calibri"/>
            <family val="2"/>
            <charset val="1"/>
          </rPr>
          <t>Microsoft Office User:
Summer marketing cut deeper than seasonality (×0.85): lower ROI due to expat absence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51" authorId="0" shapeId="0" xr:uid="{00000000-0006-0000-0A00-000001000000}">
      <text>
        <r>
          <rPr>
            <sz val="11"/>
            <color theme="1"/>
            <rFont val="Calibri"/>
            <family val="2"/>
            <charset val="1"/>
          </rPr>
          <t>Core team × 3 mo: Manager(1), Admin(2), Nurse(1), Cleaning(1). Heads hired from Y2.</t>
        </r>
      </text>
    </comment>
    <comment ref="C51" authorId="0" shapeId="0" xr:uid="{00000000-0006-0000-0A00-000002000000}">
      <text>
        <r>
          <rPr>
            <sz val="11"/>
            <color theme="1"/>
            <rFont val="Calibri"/>
            <family val="2"/>
            <charset val="1"/>
          </rPr>
          <t>Core team × 3 mo: Manager(1), Admin(1), Nurse(1), Cleaning(1). 450sqm = 1 admin.</t>
        </r>
      </text>
    </comment>
    <comment ref="B52" authorId="0" shapeId="0" xr:uid="{00000000-0006-0000-0A00-000003000000}">
      <text>
        <r>
          <rPr>
            <sz val="11"/>
            <color theme="1"/>
            <rFont val="Calibri"/>
            <family val="2"/>
            <charset val="1"/>
          </rPr>
          <t>3-month buffer: Rent + core fixed staff (620sqm scenario)</t>
        </r>
      </text>
    </comment>
    <comment ref="C52" authorId="0" shapeId="0" xr:uid="{00000000-0006-0000-0A00-000004000000}">
      <text>
        <r>
          <rPr>
            <sz val="11"/>
            <color theme="1"/>
            <rFont val="Calibri"/>
            <family val="2"/>
            <charset val="1"/>
          </rPr>
          <t>3-month buffer: Rent + core fixed staff (450sqm scenario)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16" authorId="0" shapeId="0" xr:uid="{00000000-0006-0000-0B00-000001000000}">
      <text>
        <r>
          <rPr>
            <sz val="11"/>
            <color theme="1"/>
            <rFont val="Calibri"/>
            <family val="2"/>
            <charset val="1"/>
          </rPr>
          <t>Founder monthly salary 60K AED × 12. Blue = editable input. Indexed at 4%/yr (Assumptions!B47).</t>
        </r>
      </text>
    </comment>
  </commentList>
</comments>
</file>

<file path=xl/sharedStrings.xml><?xml version="1.0" encoding="utf-8"?>
<sst xmlns="http://schemas.openxmlformats.org/spreadsheetml/2006/main" count="1790" uniqueCount="1180">
  <si>
    <t>EXECUTIVE SUMMARY</t>
  </si>
  <si>
    <t>KEY ASSUMPTIONS</t>
  </si>
  <si>
    <t>SENSITIVITY: 10Y IRR (Data Table)</t>
  </si>
  <si>
    <t>Clinic Area (sqm)</t>
  </si>
  <si>
    <t>Inflation Rate</t>
  </si>
  <si>
    <t>Discount Rate</t>
  </si>
  <si>
    <t>Total Investment</t>
  </si>
  <si>
    <t>INVESTMENT RETURNS</t>
  </si>
  <si>
    <t>Metric</t>
  </si>
  <si>
    <t>5 Years</t>
  </si>
  <si>
    <t>10 Years</t>
  </si>
  <si>
    <t>NPV</t>
  </si>
  <si>
    <t>IRR</t>
  </si>
  <si>
    <t>Payback (years)</t>
  </si>
  <si>
    <t>Total Cash Generated</t>
  </si>
  <si>
    <t>WITH EXIT (8× EBITDA)</t>
  </si>
  <si>
    <t>IRR with Exit</t>
  </si>
  <si>
    <t>NPV with Exit</t>
  </si>
  <si>
    <t>MOIC with Exit</t>
  </si>
  <si>
    <t>Total Return (Cash + Exit)</t>
  </si>
  <si>
    <t>Exit Multiple Assumed</t>
  </si>
  <si>
    <t>REVENUE &amp; EBITDA GROWTH</t>
  </si>
  <si>
    <t>Year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</si>
  <si>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</si>
  <si>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</si>
  <si>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</si>
  <si>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</si>
  <si>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</si>
  <si>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</si>
  <si>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</si>
  <si>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</si>
  <si>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</si>
  <si>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</si>
  <si>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</t>
  </si>
  <si>
    <t>EBITDA</t>
  </si>
  <si>
    <t>EBITDA Margin</t>
  </si>
  <si>
    <t>Net Profit</t>
  </si>
  <si>
    <t>EBITDA Health</t>
  </si>
  <si>
    <t>Management Mode</t>
  </si>
  <si>
    <t>Breakeven Utilization</t>
  </si>
  <si>
    <t>Y1 Avg Revenue/Patient (AED)</t>
  </si>
  <si>
    <t>THRESHOLD ALERTS</t>
  </si>
  <si>
    <t>KPI</t>
  </si>
  <si>
    <t>Actual</t>
  </si>
  <si>
    <t>Threshold</t>
  </si>
  <si>
    <t>Status</t>
  </si>
  <si>
    <t>MODEL INTEGRITY CHECKS</t>
  </si>
  <si>
    <t>Y1 EBITDA Margin</t>
  </si>
  <si>
    <t>Check</t>
  </si>
  <si>
    <t>Delta</t>
  </si>
  <si>
    <t>Rule</t>
  </si>
  <si>
    <t>Y3 EBITDA Margin</t>
  </si>
  <si>
    <t>Revenue ≡ PA × avg price</t>
  </si>
  <si>
    <t>Δ &lt; 1,000</t>
  </si>
  <si>
    <t>Y5 EBITDA Margin</t>
  </si>
  <si>
    <t>OpEx total ≡ P&amp;L costs</t>
  </si>
  <si>
    <t>Δ &lt; 100</t>
  </si>
  <si>
    <t>10Y IRR</t>
  </si>
  <si>
    <t>Monthly ≈ Annual Rev</t>
  </si>
  <si>
    <t>LTV:CAC</t>
  </si>
  <si>
    <t>PA dept sum = total</t>
  </si>
  <si>
    <t>Must match</t>
  </si>
  <si>
    <t>Y5 Staff Util</t>
  </si>
  <si>
    <t>Staff util ≤ 100%</t>
  </si>
  <si>
    <t>≤ 100%</t>
  </si>
  <si>
    <t>Y5 Room Util</t>
  </si>
  <si>
    <t>Room util ≤ 100%</t>
  </si>
  <si>
    <t>ALERT STATUS</t>
  </si>
  <si>
    <t>Seasonality avg = 1.0</t>
  </si>
  <si>
    <t>Budget-neutral</t>
  </si>
  <si>
    <t>1-VAR SENSITIVITY: Revenue Factor</t>
  </si>
  <si>
    <t>Eq.Mult</t>
  </si>
  <si>
    <t>LTV:CAC ≥ 3×</t>
  </si>
  <si>
    <t>≥ 3×</t>
  </si>
  <si>
    <t>Rev Factor</t>
  </si>
  <si>
    <t>MASTER STATUS</t>
  </si>
  <si>
    <t>All checks must pass</t>
  </si>
  <si>
    <t>BREAKEVEN ANALYSIS</t>
  </si>
  <si>
    <t>Value</t>
  </si>
  <si>
    <t>Notes</t>
  </si>
  <si>
    <t>Monthly BE Revenue (AED)</t>
  </si>
  <si>
    <t>Fixed Costs ÷ Gross Margin</t>
  </si>
  <si>
    <t>BE Visits / Month</t>
  </si>
  <si>
    <t>BE Revenue ÷ Avg Revenue per Visit</t>
  </si>
  <si>
    <t>Breakeven Utilization (%)</t>
  </si>
  <si>
    <t>BE Visits ÷ Annual Capacity</t>
  </si>
  <si>
    <t>Months to Operational BE</t>
  </si>
  <si>
    <t>First month with positive EBITDA (Y1 only)</t>
  </si>
  <si>
    <t>Months to Investment Payback</t>
  </si>
  <si>
    <t>Interpolated from annual cumulative CF</t>
  </si>
  <si>
    <t>MANAGEMENT MODE IMPACT</t>
  </si>
  <si>
    <t>≈ approximation. For exact: select G30:I38 → Data → What-If → Data Table → Column: E38</t>
  </si>
  <si>
    <t>Self-Managed</t>
  </si>
  <si>
    <t>External (7%)</t>
  </si>
  <si>
    <t>Δ</t>
  </si>
  <si>
    <t>Y1 Management Fee</t>
  </si>
  <si>
    <t>Y5 Management Fee</t>
  </si>
  <si>
    <t>10Y Cumulative Fee</t>
  </si>
  <si>
    <t>ARISHA MEDICAL CLINIC — UNIFIED FINANCIAL MODEL</t>
  </si>
  <si>
    <t>Location: Dubai, Studio City | 10-Year Projection</t>
  </si>
  <si>
    <t>SCENARIO SELECTOR</t>
  </si>
  <si>
    <t>Active Scenario</t>
  </si>
  <si>
    <t>1 = 620 sqm (Base)  |  2 = 450 sqm (Compact)</t>
  </si>
  <si>
    <t>1 = Self-Managed  |  2 = External Management (brand fee)</t>
  </si>
  <si>
    <t>SCENARIO PARAMETERS</t>
  </si>
  <si>
    <t>Parameter</t>
  </si>
  <si>
    <t>620 sqm</t>
  </si>
  <si>
    <t>450 sqm</t>
  </si>
  <si>
    <t>Active Value</t>
  </si>
  <si>
    <t>Functional Space (%)</t>
  </si>
  <si>
    <t>620: 71% | 450: 65%</t>
  </si>
  <si>
    <t>Functional Area (sqm)</t>
  </si>
  <si>
    <t>Base Rent Rate (AED/sqm/year)</t>
  </si>
  <si>
    <t>Studio City market rate</t>
  </si>
  <si>
    <t>Doctor Days per Week</t>
  </si>
  <si>
    <t>40h work week, 5-day rotation</t>
  </si>
  <si>
    <t>Doctor Hours per Day</t>
  </si>
  <si>
    <t>Excl. 1h lunch break</t>
  </si>
  <si>
    <t>Doctor Days per Year</t>
  </si>
  <si>
    <t>For staff capacity calc</t>
  </si>
  <si>
    <t>Clinic Days per Week</t>
  </si>
  <si>
    <t>Open 7 days, staff rotates</t>
  </si>
  <si>
    <t>Clinic Days per Year</t>
  </si>
  <si>
    <t>For room capacity calc</t>
  </si>
  <si>
    <t>Clinic Hours per Day</t>
  </si>
  <si>
    <t>Open hours for room utilization</t>
  </si>
  <si>
    <t>Max Utilization Rate</t>
  </si>
  <si>
    <t>Weekday Target Utilization</t>
  </si>
  <si>
    <t>Weekend Target Utilization</t>
  </si>
  <si>
    <t>Weekdays per Week</t>
  </si>
  <si>
    <t>Blended Target Utilization (max)</t>
  </si>
  <si>
    <t>Rent Deposit (months)</t>
  </si>
  <si>
    <t>Renovation Rate (AED/sqm)</t>
  </si>
  <si>
    <t>Depreciation Period (years)</t>
  </si>
  <si>
    <t>Equipment &amp; fit-out</t>
  </si>
  <si>
    <t>STAFF CAPACITY (appointments/year)</t>
  </si>
  <si>
    <t>Department</t>
  </si>
  <si>
    <t>Cap 620</t>
  </si>
  <si>
    <t>Cap 450</t>
  </si>
  <si>
    <t>Active Cap</t>
  </si>
  <si>
    <t>FTE 620</t>
  </si>
  <si>
    <t>FTE 450</t>
  </si>
  <si>
    <t>Rate (p/d)</t>
  </si>
  <si>
    <t>Ortho/Neuro</t>
  </si>
  <si>
    <t>45min → 10 p/d (8h÷0.75h)</t>
  </si>
  <si>
    <t>Physio</t>
  </si>
  <si>
    <t>75min → 6 p/d (8h÷1.25h)</t>
  </si>
  <si>
    <t>Dental</t>
  </si>
  <si>
    <t>100min → 4 p/d (8h÷1.67h)</t>
  </si>
  <si>
    <t>Cosmetology</t>
  </si>
  <si>
    <t>Polyclinic (GP+Gynecologist)</t>
  </si>
  <si>
    <t>TOTAL Staff Capacity</t>
  </si>
  <si>
    <t>Cap = FTE × DoctorDays × Rate</t>
  </si>
  <si>
    <t>ROOM CAPACITY (appointments/year)</t>
  </si>
  <si>
    <t>Rooms 620</t>
  </si>
  <si>
    <t>Rooms 450</t>
  </si>
  <si>
    <t>Avg Slot (hrs)</t>
  </si>
  <si>
    <t>~45 min consult (2 rooms)</t>
  </si>
  <si>
    <t>2 ind. + hall×5 + hall×3 = 10</t>
  </si>
  <si>
    <t>3 chairs × 14 sqm each</t>
  </si>
  <si>
    <t>Aesthetic + Vital Signs + Derma</t>
  </si>
  <si>
    <t>1 GP + 1 Gyn, ~45 min each</t>
  </si>
  <si>
    <t>TOTAL Room Capacity</t>
  </si>
  <si>
    <t>Cap = Rooms × ClinicDays × (ClinicHrs/Slot)</t>
  </si>
  <si>
    <t>INFLATION &amp; DISCOUNT RATE</t>
  </si>
  <si>
    <t>WHAT-IF DRIVERS</t>
  </si>
  <si>
    <t>Annual Inflation Rate</t>
  </si>
  <si>
    <t>Revenue Factor</t>
  </si>
  <si>
    <t>Discount Rate (WACC)</t>
  </si>
  <si>
    <t>CapEx Factor</t>
  </si>
  <si>
    <t>Corporate Tax Rate</t>
  </si>
  <si>
    <t>Default = 1.00. Used by Data Table.</t>
  </si>
  <si>
    <t>Tax Threshold (AED)</t>
  </si>
  <si>
    <t>Terminal Growth Rate</t>
  </si>
  <si>
    <t>REVENUE SHARING RATES (salary = % of dept revenue)</t>
  </si>
  <si>
    <t>Physio Clinic</t>
  </si>
  <si>
    <t>Cosmetology / Beauty</t>
  </si>
  <si>
    <t>Ortho Injections</t>
  </si>
  <si>
    <t>Rev-Share Start Discount (pp)</t>
  </si>
  <si>
    <t>Negative = discount from target. Y1 rate = Target + Discount</t>
  </si>
  <si>
    <t>Rev-Share Ramp Years</t>
  </si>
  <si>
    <t>Years to reach target rate (linear ramp)</t>
  </si>
  <si>
    <t>COGS &amp; OPERATING ASSUMPTIONS</t>
  </si>
  <si>
    <t>COGS Direct Materials — Dental</t>
  </si>
  <si>
    <t>COGS Direct Materials — Physio</t>
  </si>
  <si>
    <t>COGS Direct Materials — Polyclinic</t>
  </si>
  <si>
    <t>COGS Direct Materials — Cosmetology</t>
  </si>
  <si>
    <t>COGS Direct Materials — Orthotics</t>
  </si>
  <si>
    <t>COGS Direct Materials — Injections</t>
  </si>
  <si>
    <t>COGS Selling Expenses — Acquiring</t>
  </si>
  <si>
    <t>COGS Selling Expenses — Money Return</t>
  </si>
  <si>
    <t>Benefits (% of salaries)</t>
  </si>
  <si>
    <t>Marketing Y1 (% of revenue)</t>
  </si>
  <si>
    <t>Fallback when B114=0 (legacy %-of-revenue)</t>
  </si>
  <si>
    <t>Marketing Y2+ (% of revenue)</t>
  </si>
  <si>
    <t>R&amp;D (% of revenue)</t>
  </si>
  <si>
    <t>GENERAL ADMINISTRATIVE EXPENSES (AED/year)</t>
  </si>
  <si>
    <t>Active</t>
  </si>
  <si>
    <t>Scaling Logic</t>
  </si>
  <si>
    <t>Utilities</t>
  </si>
  <si>
    <t>Area-proportional (×0.73)</t>
  </si>
  <si>
    <t>Fire &amp; Safety Security</t>
  </si>
  <si>
    <t>Slightly less (fewer zones)</t>
  </si>
  <si>
    <t>Internet &amp; Telephone</t>
  </si>
  <si>
    <t>Fixed — same infrastructure</t>
  </si>
  <si>
    <t>Repairs &amp; Maintenance</t>
  </si>
  <si>
    <t>Area-proportional</t>
  </si>
  <si>
    <t>Water Maintenance</t>
  </si>
  <si>
    <t>Insurance</t>
  </si>
  <si>
    <t>Lower coverage (smaller space)</t>
  </si>
  <si>
    <t>Transportation</t>
  </si>
  <si>
    <t>Fixed</t>
  </si>
  <si>
    <t>Clinic Manager</t>
  </si>
  <si>
    <t>Fixed — same role</t>
  </si>
  <si>
    <t>Head of Dept 1 (after Y2)</t>
  </si>
  <si>
    <t>Head of Dept 2 (after Y2)</t>
  </si>
  <si>
    <t>450 sqm: 1 HoD only (not 2)</t>
  </si>
  <si>
    <t>Admin Staff (×2)</t>
  </si>
  <si>
    <t>450 sqm: ×1 admin (not ×2)</t>
  </si>
  <si>
    <t>IT Support (outsource)</t>
  </si>
  <si>
    <t>Fixed — outsourced</t>
  </si>
  <si>
    <t>Accountant (outsource)</t>
  </si>
  <si>
    <t>Nurse</t>
  </si>
  <si>
    <t>Software &amp; Subscriptions</t>
  </si>
  <si>
    <t>Fixed — same licenses</t>
  </si>
  <si>
    <t>Marketing Agency</t>
  </si>
  <si>
    <t>Lower budget (smaller reach)</t>
  </si>
  <si>
    <t>SMM</t>
  </si>
  <si>
    <t>Slightly lower (fewer channels)</t>
  </si>
  <si>
    <t>Cleaning</t>
  </si>
  <si>
    <t>Area-proportional (×0.70)</t>
  </si>
  <si>
    <t>License Fees</t>
  </si>
  <si>
    <t>Fewer license categories</t>
  </si>
  <si>
    <t>Office Supplies</t>
  </si>
  <si>
    <t>Lower volume</t>
  </si>
  <si>
    <t>Legal Fees</t>
  </si>
  <si>
    <t>Slightly lower</t>
  </si>
  <si>
    <t>Visa Processing</t>
  </si>
  <si>
    <t>Fewer staff → fewer visas</t>
  </si>
  <si>
    <t>Consumables</t>
  </si>
  <si>
    <t>Lower patient volume</t>
  </si>
  <si>
    <t>TOTAL Administrative</t>
  </si>
  <si>
    <t>Scenario-driven</t>
  </si>
  <si>
    <t>WORKING CAPITAL PARAMETERS</t>
  </si>
  <si>
    <t>Days Inventory (medications)</t>
  </si>
  <si>
    <t>Days Inventory (food/retail)</t>
  </si>
  <si>
    <t>Days Receivable</t>
  </si>
  <si>
    <t>Days Payable</t>
  </si>
  <si>
    <t>COGS Medications (%)</t>
  </si>
  <si>
    <t>COGS Food/Retail (%)</t>
  </si>
  <si>
    <t>OWN VS LEASE PARAMETERS</t>
  </si>
  <si>
    <t>Property Purchase Price (AED)</t>
  </si>
  <si>
    <t>Down Payment (%)</t>
  </si>
  <si>
    <t>Mortgage Rate (%)</t>
  </si>
  <si>
    <t>Mortgage Term (years)</t>
  </si>
  <si>
    <t>Property Appreciation (%/year)</t>
  </si>
  <si>
    <t>Maintenance Cost (%/year of value)</t>
  </si>
  <si>
    <t>MANAGEMENT FEE PARAMETERS</t>
  </si>
  <si>
    <t>External Mgmt Fee (% of Revenue)</t>
  </si>
  <si>
    <t>Dubai market: 5-10% for branded clinics</t>
  </si>
  <si>
    <t>Mgmt Fee Escalation (%/yr)</t>
  </si>
  <si>
    <t>Annual increase in mgmt rate</t>
  </si>
  <si>
    <t>Active Mgmt Fee Y1</t>
  </si>
  <si>
    <t>0% if self-managed</t>
  </si>
  <si>
    <t>Marketing Budget Source</t>
  </si>
  <si>
    <t>1=S-curve GAP-driven  2=% of Revenue (legacy)</t>
  </si>
  <si>
    <t>COST ESCALATION PARAMETERS</t>
  </si>
  <si>
    <t>Category</t>
  </si>
  <si>
    <t>Annual Rate</t>
  </si>
  <si>
    <t>Rent Escalation</t>
  </si>
  <si>
    <t>Linked to inflation assumption B38</t>
  </si>
  <si>
    <t>Salary Escalation (fixed staff)</t>
  </si>
  <si>
    <t>Annual increment for salaried staff</t>
  </si>
  <si>
    <t>Utilities Escalation</t>
  </si>
  <si>
    <t>Below inflation — efficiency gains</t>
  </si>
  <si>
    <t>Insurance Escalation</t>
  </si>
  <si>
    <t>Above inflation — coverage expansion</t>
  </si>
  <si>
    <t>Marketing Cost Escalation</t>
  </si>
  <si>
    <t>Declines as brand matures</t>
  </si>
  <si>
    <t>Consumables &amp; Supplies</t>
  </si>
  <si>
    <t>Linked to CPI</t>
  </si>
  <si>
    <t>Software &amp; IT</t>
  </si>
  <si>
    <t>Tech cost inflation</t>
  </si>
  <si>
    <t>License &amp; Legal Fees</t>
  </si>
  <si>
    <t>Relatively stable</t>
  </si>
  <si>
    <t>FIXED STAFF SALARY SCHEDULE (AED/year)</t>
  </si>
  <si>
    <t>Position</t>
  </si>
  <si>
    <t>Monthly AED</t>
  </si>
  <si>
    <t>Annual AED</t>
  </si>
  <si>
    <t>Count</t>
  </si>
  <si>
    <t>Total</t>
  </si>
  <si>
    <t>Market Range</t>
  </si>
  <si>
    <t>12-17K</t>
  </si>
  <si>
    <t>✅ In range</t>
  </si>
  <si>
    <t>Admin / Receptionist</t>
  </si>
  <si>
    <t>4-7K</t>
  </si>
  <si>
    <t>✅ Upper</t>
  </si>
  <si>
    <t>Nurse (clinic)</t>
  </si>
  <si>
    <t>6-14K</t>
  </si>
  <si>
    <t>✅ Mid</t>
  </si>
  <si>
    <t>Head of Dept 1 (from Y2)</t>
  </si>
  <si>
    <t>8-15K</t>
  </si>
  <si>
    <t>⚠️ Low if FT</t>
  </si>
  <si>
    <t>Head of Dept 2 (from Y2)</t>
  </si>
  <si>
    <t>Cleaning / Technical</t>
  </si>
  <si>
    <t>3-6K</t>
  </si>
  <si>
    <t>TOTAL Fixed Staff Cost</t>
  </si>
  <si>
    <t>PATIENT TRAFFIC MODEL — PARAMETERS</t>
  </si>
  <si>
    <t>Maturity Capacity (patients/month)</t>
  </si>
  <si>
    <t>Assumptions!H26/12 (annual capacity ÷ 12)</t>
  </si>
  <si>
    <t>Derived from Staff Capacity (D26/12)</t>
  </si>
  <si>
    <t>Hiring Utilization Trigger</t>
  </si>
  <si>
    <t>When annual util exceeds this %, add 1 FTE next year (editable)</t>
  </si>
  <si>
    <t>── Step-Function ──</t>
  </si>
  <si>
    <t>Capacity per Additional FTE (visits/yr)</t>
  </si>
  <si>
    <t>Specialist avg: 7 patients/day × 250 working days (editable)</t>
  </si>
  <si>
    <t>Marketing Efficiency (patients per 1K AED)</t>
  </si>
  <si>
    <t>Incremental patients per 1000 AED marketing</t>
  </si>
  <si>
    <t>── Marketing ── (legacy, not used in current model)</t>
  </si>
  <si>
    <t>Organic Referral Rate (%/month)</t>
  </si>
  <si>
    <t>Monthly WOM growth after initial traction</t>
  </si>
  <si>
    <t>Y1 Launch Utilization Cap</t>
  </si>
  <si>
    <t>First-year ramp constraint</t>
  </si>
  <si>
    <t>Max Additional FTE</t>
  </si>
  <si>
    <t>Pre-launch traction (soft opening, staff referrals)</t>
  </si>
  <si>
    <t>Insurance Panel Year</t>
  </si>
  <si>
    <t>Year insurance approval expected</t>
  </si>
  <si>
    <t>Insurance Panel Patient Boost</t>
  </si>
  <si>
    <t>One-time walk-in increase from insurance panels</t>
  </si>
  <si>
    <t>TARGET CLINIC UTILIZATION BY YEAR (vs Room Capacity)</t>
  </si>
  <si>
    <t>Target Room Utilization (mgmt input)</t>
  </si>
  <si>
    <t>editable →</t>
  </si>
  <si>
    <t>Target Visits (= Target % × Room Cap)</t>
  </si>
  <si>
    <t>Required New Marketing Patients</t>
  </si>
  <si>
    <t xml:space="preserve"> TargetPat - Ret - Ref - Org</t>
  </si>
  <si>
    <t>Actual Room Utilization</t>
  </si>
  <si>
    <t>Gap (Actual − Target)</t>
  </si>
  <si>
    <t>── Diagnostics ──</t>
  </si>
  <si>
    <t xml:space="preserve">  Unrestricted Demand</t>
  </si>
  <si>
    <t>Pat × VpP</t>
  </si>
  <si>
    <t xml:space="preserve">  Staff Cap / Room Cap</t>
  </si>
  <si>
    <t xml:space="preserve">  Binding Constraint</t>
  </si>
  <si>
    <t>DEPARTMENT HIRING PLAN (demand-driven)</t>
  </si>
  <si>
    <t>Base FTE</t>
  </si>
  <si>
    <t>── Additional Hires (editable) ──</t>
  </si>
  <si>
    <t xml:space="preserve">  Ortho/Neuro</t>
  </si>
  <si>
    <t xml:space="preserve">  Physio</t>
  </si>
  <si>
    <t xml:space="preserve">  Dental</t>
  </si>
  <si>
    <t xml:space="preserve">  Cosmetology</t>
  </si>
  <si>
    <t xml:space="preserve">  Polyclinic</t>
  </si>
  <si>
    <t xml:space="preserve">  TOTAL Additional</t>
  </si>
  <si>
    <t>── Cumulative FTE ──</t>
  </si>
  <si>
    <t xml:space="preserve">  TOTAL FTE</t>
  </si>
  <si>
    <t>── Dynamic Staff Cap (visits/yr) ──</t>
  </si>
  <si>
    <t xml:space="preserve">  TOTAL Dynamic Staff Cap</t>
  </si>
  <si>
    <t>Max Marketing (% of Revenue)</t>
  </si>
  <si>
    <t>Cap: marketing spend cannot exceed this % of revenue</t>
  </si>
  <si>
    <t>FACILITY SPACE ALLOCATION</t>
  </si>
  <si>
    <t>Zone</t>
  </si>
  <si>
    <t>DHA Norm (sqm)</t>
  </si>
  <si>
    <t>SPACE UTILIZATION</t>
  </si>
  <si>
    <t>% of Total</t>
  </si>
  <si>
    <t>Reception &amp; Waiting</t>
  </si>
  <si>
    <t>Circulation</t>
  </si>
  <si>
    <t>Clinical (treatment)</t>
  </si>
  <si>
    <t>Physio Treatment Rooms (×2 × 16 sqm)</t>
  </si>
  <si>
    <t>Clinical</t>
  </si>
  <si>
    <t>Diagnostic</t>
  </si>
  <si>
    <t>Rehabilitation Hall (×1, 5 stations)</t>
  </si>
  <si>
    <t>Clinical (Rehab)</t>
  </si>
  <si>
    <t>Support (nursing/pharm/store)</t>
  </si>
  <si>
    <t>Rehabilitation Hall 2 (×1, 3 stations)</t>
  </si>
  <si>
    <t>Dental Rooms (×3 × 14 sqm)</t>
  </si>
  <si>
    <t>Gynecology Suite (×1, incl. WC + US)</t>
  </si>
  <si>
    <t>Circulation (corridors/WC/mech)</t>
  </si>
  <si>
    <t>GP Room (×1)</t>
  </si>
  <si>
    <t>Unallocated / Buffer</t>
  </si>
  <si>
    <t>Ortho / Neuro Consultation (×2 × 14 sqm)</t>
  </si>
  <si>
    <t>TOTAL</t>
  </si>
  <si>
    <t>Aesthetic Room (×1)</t>
  </si>
  <si>
    <t>Dermatology Consultation (×1)</t>
  </si>
  <si>
    <t>Treatment Room (×1)</t>
  </si>
  <si>
    <t>── Benchmarks (Dubai healthcare) ──</t>
  </si>
  <si>
    <t>Vital Signs</t>
  </si>
  <si>
    <t>Clinical 35-45% | Buffer 8-15% | Circulation &lt;30%</t>
  </si>
  <si>
    <t>X-Ray Room</t>
  </si>
  <si>
    <t>Note: Functional Space (row 10) = net usable / gross area</t>
  </si>
  <si>
    <t>Central Sterilization (CSSD)</t>
  </si>
  <si>
    <t>Sterilization</t>
  </si>
  <si>
    <t>Clean Utility</t>
  </si>
  <si>
    <t>Utility</t>
  </si>
  <si>
    <t>Dirty Utility</t>
  </si>
  <si>
    <t>Phlebotomy</t>
  </si>
  <si>
    <t>Store</t>
  </si>
  <si>
    <t>Support</t>
  </si>
  <si>
    <t>Staff Room / Break</t>
  </si>
  <si>
    <t>Admin</t>
  </si>
  <si>
    <t>Admin Office</t>
  </si>
  <si>
    <t>Restrooms (×3)</t>
  </si>
  <si>
    <t>Corridors &amp; Common Area</t>
  </si>
  <si>
    <t>IT / Server + Mechanical</t>
  </si>
  <si>
    <t>TOTAL Allocated</t>
  </si>
  <si>
    <t>Clinical Space (%)</t>
  </si>
  <si>
    <t>Revenue per sqm (Y1, AED)</t>
  </si>
  <si>
    <t>GROWTH MODEL — COHORT + STEP-FUNCTION (demand-driven hiring)</t>
  </si>
  <si>
    <t>Source</t>
  </si>
  <si>
    <t>Component</t>
  </si>
  <si>
    <t>Cumulative Additional FTE</t>
  </si>
  <si>
    <t>← B143/B144/B145 (editable)</t>
  </si>
  <si>
    <t>Dynamic Annual Capacity (visits)</t>
  </si>
  <si>
    <t>← row 188</t>
  </si>
  <si>
    <t>Retained Patients</t>
  </si>
  <si>
    <t>← row 190 = MIN(Target, Organic+GAP)</t>
  </si>
  <si>
    <t>Referral Patients (word-of-mouth)</t>
  </si>
  <si>
    <t>← row 189 = MAX(0, Target − Organic)</t>
  </si>
  <si>
    <t>Walk-in / Organic New Patients</t>
  </si>
  <si>
    <t>Marketing New Patients</t>
  </si>
  <si>
    <t>M11</t>
  </si>
  <si>
    <t>M12</t>
  </si>
  <si>
    <t>TOTAL Unique Patients</t>
  </si>
  <si>
    <t>Total Annual Visits</t>
  </si>
  <si>
    <t>Monthly Launch Ramp Factor (Y1)</t>
  </si>
  <si>
    <t>Marketing Spend (monthly, Y1)</t>
  </si>
  <si>
    <t>Revenue Seasonality (Dubai)</t>
  </si>
  <si>
    <t>← must = 1.000 (budget-neutral)</t>
  </si>
  <si>
    <t>Marketing Redistribution</t>
  </si>
  <si>
    <t>── ANNUAL CHANNEL SPLIT ──</t>
  </si>
  <si>
    <t>ANNUAL CHANNEL SPLIT</t>
  </si>
  <si>
    <t>Factor</t>
  </si>
  <si>
    <t>Utilization (cohort bottom-up)</t>
  </si>
  <si>
    <t>S-curve natural growth trajectory</t>
  </si>
  <si>
    <t>Marketing Contribution (%)</t>
  </si>
  <si>
    <t>GAP = Target Utilization − Organic</t>
  </si>
  <si>
    <t>EFFECTIVE Utilization Factor</t>
  </si>
  <si>
    <t>Replaces old Composite in Revenue</t>
  </si>
  <si>
    <t>Organic Share (%)</t>
  </si>
  <si>
    <t>% of revenue from organic channels</t>
  </si>
  <si>
    <t>Marketing Share (%)</t>
  </si>
  <si>
    <t>% of revenue from paid marketing</t>
  </si>
  <si>
    <t>PATIENT COHORT &amp; RETENTION PARAMETERS</t>
  </si>
  <si>
    <t>General Retention Rate (excl. Physio)</t>
  </si>
  <si>
    <t>% of non-Physio patients returning (editable)</t>
  </si>
  <si>
    <t>Physio Retention Rate</t>
  </si>
  <si>
    <t>Physio patients rarely return — problem solved (editable)</t>
  </si>
  <si>
    <t>Retention Improvement (%/yr)</t>
  </si>
  <si>
    <t>Annual improvement as clinic matures (editable)</t>
  </si>
  <si>
    <t>Effective Retention by Year</t>
  </si>
  <si>
    <t>Capped at 90%</t>
  </si>
  <si>
    <t>VISIT FREQUENCY (visits per unique patient per year)</t>
  </si>
  <si>
    <t>Visits/Patient</t>
  </si>
  <si>
    <t>Range</t>
  </si>
  <si>
    <t>8-12</t>
  </si>
  <si>
    <t>Course-based treatment (avg 10 sessions)</t>
  </si>
  <si>
    <t>Dental Clinic</t>
  </si>
  <si>
    <t>2-4</t>
  </si>
  <si>
    <t>Checkups + procedures</t>
  </si>
  <si>
    <t>Polyclinic</t>
  </si>
  <si>
    <t>2-3</t>
  </si>
  <si>
    <t>GP visits + follow-ups</t>
  </si>
  <si>
    <t>6-8</t>
  </si>
  <si>
    <t>Regular aesthetic treatments</t>
  </si>
  <si>
    <t>Volume-weighted average (from Price List, no circular ref)</t>
  </si>
  <si>
    <t>ACQUISITION &amp; RETENTION COSTS</t>
  </si>
  <si>
    <t xml:space="preserve">  Cost per Lead — CPL (AED)</t>
  </si>
  <si>
    <t>Avg CPL across Google Ads, Instagram, aggregators (editable)</t>
  </si>
  <si>
    <t xml:space="preserve">  Lead-to-Patient Conversion (%)</t>
  </si>
  <si>
    <t>12.5% = 1 in 8 leads converts (editable, Dubai avg 8-15%)</t>
  </si>
  <si>
    <t>CAC per Unique Patient (AED)</t>
  </si>
  <si>
    <t>= CPL / Conversion Rate (calculated)</t>
  </si>
  <si>
    <t>Retention Cost per Patient/yr (AED)</t>
  </si>
  <si>
    <t>Loyalty programs, follow-up comms (editable)</t>
  </si>
  <si>
    <t>MARKETING &amp; ACQUISITION PLAN</t>
  </si>
  <si>
    <t>Y1 Patient Acquisition Budget (AED)</t>
  </si>
  <si>
    <t>Launch marketing push (editable)</t>
  </si>
  <si>
    <t>Marketing Budget Decay Rate (%/yr)</t>
  </si>
  <si>
    <t>Minimum Marketing Budget (AED/yr)</t>
  </si>
  <si>
    <t>Walk-in Base (new patients/month)</t>
  </si>
  <si>
    <t>Walk-in Growth Rate (%/yr)</t>
  </si>
  <si>
    <t>Insurance Panel Boost (→ B145)</t>
  </si>
  <si>
    <t>Pre-opening Patient Pipeline</t>
  </si>
  <si>
    <t>SERVICE MIX — DEPARTMENT &amp; SERVICE PROPORTIONS</t>
  </si>
  <si>
    <t>Drives Price List volumes via Patient Acquisition. Edit blue cells to adjust mix.</t>
  </si>
  <si>
    <t>UNIQUE PATIENT SHARE (% of new patients choosing each dept)</t>
  </si>
  <si>
    <t>Share</t>
  </si>
  <si>
    <t>GP + Gynecology</t>
  </si>
  <si>
    <t>CHECK (must = 100%)</t>
  </si>
  <si>
    <t>Weighted Avg Visits/Patient (derived)</t>
  </si>
  <si>
    <t>DEPARTMENT VISIT SHARES (% of total clinic visits)</t>
  </si>
  <si>
    <t>Patient Share x Visits / Avg</t>
  </si>
  <si>
    <t>SERVICE SHARES WITHIN DEPARTMENTS</t>
  </si>
  <si>
    <t>PHYSIO PATIENT JOURNEY (funnel-based)</t>
  </si>
  <si>
    <t xml:space="preserve">  % directed to Rehab</t>
  </si>
  <si>
    <t>60% of new patients get rehab course</t>
  </si>
  <si>
    <t xml:space="preserve">  Rehab sessions per patient</t>
  </si>
  <si>
    <t>Average course length (8-12 sessions)</t>
  </si>
  <si>
    <t xml:space="preserve">  % directed to Injections</t>
  </si>
  <si>
    <t>10% receive injection therapy</t>
  </si>
  <si>
    <t xml:space="preserve">  % directed to Orthotics</t>
  </si>
  <si>
    <t>5% fitted with orthotic devices</t>
  </si>
  <si>
    <t xml:space="preserve">  Follow Up rate after Rehab</t>
  </si>
  <si>
    <t>80% return for specialist review</t>
  </si>
  <si>
    <t xml:space="preserve">  Follow Up rate after Injections</t>
  </si>
  <si>
    <t>50% return after injection</t>
  </si>
  <si>
    <t xml:space="preserve">  Follow Up rate after Orthotics</t>
  </si>
  <si>
    <t>30% return after orthotic fitting</t>
  </si>
  <si>
    <t xml:space="preserve">  Total visits per 100 patients</t>
  </si>
  <si>
    <t>Calculated total visits from funnel</t>
  </si>
  <si>
    <t>Physio — Specialist Consultation</t>
  </si>
  <si>
    <t>Physio — Rehab Session</t>
  </si>
  <si>
    <t>Physio — Follow Up</t>
  </si>
  <si>
    <t>Physio — Injections</t>
  </si>
  <si>
    <t>Physio — Orthotics</t>
  </si>
  <si>
    <t>Physio CHECK</t>
  </si>
  <si>
    <t>Dental — Hygiene</t>
  </si>
  <si>
    <t>Dental — Restorative</t>
  </si>
  <si>
    <t>Dental — Implantology</t>
  </si>
  <si>
    <t>Dental — Aesthetic Dentistry</t>
  </si>
  <si>
    <t>Dental — Follow Up</t>
  </si>
  <si>
    <t>Dental CHECK</t>
  </si>
  <si>
    <t>Polyclinic — GP</t>
  </si>
  <si>
    <t>Polyclinic — Gynecology</t>
  </si>
  <si>
    <t>Poly CHECK</t>
  </si>
  <si>
    <t>── Diagnostics Order Rates ──</t>
  </si>
  <si>
    <t>Blood Test order rate (% of GP+Gyno visits)</t>
  </si>
  <si>
    <t>X-Ray order rate (% of Physio+GP visits)</t>
  </si>
  <si>
    <t>Ultrasound order rate (% of Gyno visits)</t>
  </si>
  <si>
    <t>Cosmetology — Session</t>
  </si>
  <si>
    <t>Should match B205</t>
  </si>
  <si>
    <t>450sqm proportions scale factor</t>
  </si>
  <si>
    <t>450sqm Qty = 620sqm Qty × this factor</t>
  </si>
  <si>
    <t>PRICE LIST &amp; SERVICE VOLUMES</t>
  </si>
  <si>
    <t>Note: Prices increase by inflation rate annually. Volumes scale by scenario.</t>
  </si>
  <si>
    <t>Hrs/Slot</t>
  </si>
  <si>
    <t>Service/Product</t>
  </si>
  <si>
    <t>Base Price</t>
  </si>
  <si>
    <t>Qty Y1/mo</t>
  </si>
  <si>
    <t>Qty Y2/mo</t>
  </si>
  <si>
    <t>Qty Y3/mo</t>
  </si>
  <si>
    <t>Qty Y4/mo</t>
  </si>
  <si>
    <t>Qty Y5/mo</t>
  </si>
  <si>
    <t>Qty Y6/mo</t>
  </si>
  <si>
    <t>Qty Y7/mo</t>
  </si>
  <si>
    <t>Qty Y8/mo</t>
  </si>
  <si>
    <t>Qty Y9/mo</t>
  </si>
  <si>
    <t>Qty Y10/mo</t>
  </si>
  <si>
    <t>Specialist Consultation</t>
  </si>
  <si>
    <t>Personal Rehabilitation Session</t>
  </si>
  <si>
    <t>Follow Up Consultation</t>
  </si>
  <si>
    <t>Injections</t>
  </si>
  <si>
    <t>Orthotics</t>
  </si>
  <si>
    <t>Hygiene</t>
  </si>
  <si>
    <t>Restorative</t>
  </si>
  <si>
    <t>Implantology</t>
  </si>
  <si>
    <t>Aesthetic Dentistry</t>
  </si>
  <si>
    <t>GP</t>
  </si>
  <si>
    <t>Gynecology</t>
  </si>
  <si>
    <t>Blood Tests (lab partner)</t>
  </si>
  <si>
    <t>X-Ray</t>
  </si>
  <si>
    <t>Ultrasound</t>
  </si>
  <si>
    <t>Session</t>
  </si>
  <si>
    <t>Wellness Packages</t>
  </si>
  <si>
    <t>Essential Package</t>
  </si>
  <si>
    <t>Premium Package</t>
  </si>
  <si>
    <t>Elite Package</t>
  </si>
  <si>
    <t>REVENUE PROJECTION (10 YEARS)</t>
  </si>
  <si>
    <t>Prices adjusted annually by inflation rate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</si>
  <si>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</si>
  <si>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</si>
  <si>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</si>
  <si>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</si>
  <si>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</si>
  <si>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</si>
  <si>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</si>
  <si>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</si>
  <si>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</si>
  <si>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</si>
  <si>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Inflation Factor</t>
  </si>
  <si>
    <t>Utilization Factor (Organic + Marketing)</t>
  </si>
  <si>
    <t>TOTAL REVENUE</t>
  </si>
  <si>
    <t>YoY Growth</t>
  </si>
  <si>
    <t>-</t>
  </si>
  <si>
    <t>AVG Monthly Revenue</t>
  </si>
  <si>
    <t>(Channel efficiency metrics → see Patient Acquisition sheet, rows 38-50)</t>
  </si>
  <si>
    <t>CAPACITY ANALYSIS</t>
  </si>
  <si>
    <t>Volume Factor</t>
  </si>
  <si>
    <t xml:space="preserve">  Annual Visits</t>
  </si>
  <si>
    <t xml:space="preserve">  Staff Utilization</t>
  </si>
  <si>
    <t xml:space="preserve">  Room Utilization</t>
  </si>
  <si>
    <t>Ortho/Neuro (within Physio dept)</t>
  </si>
  <si>
    <t xml:space="preserve">  Staff Capacity (annual)</t>
  </si>
  <si>
    <t xml:space="preserve">  Room Capacity (annual)</t>
  </si>
  <si>
    <t>OVERALL CLINIC UTILIZATION</t>
  </si>
  <si>
    <t>Total Visits (from PA)</t>
  </si>
  <si>
    <t>Total Staff Capacity</t>
  </si>
  <si>
    <t>Total Room Capacity</t>
  </si>
  <si>
    <t>STAFF Utilization</t>
  </si>
  <si>
    <t xml:space="preserve">  Target (mgmt input)</t>
  </si>
  <si>
    <t xml:space="preserve">  Gap (Actual − Demand)</t>
  </si>
  <si>
    <t>ROOM Utilization</t>
  </si>
  <si>
    <t>Binding Constraint</t>
  </si>
  <si>
    <t>Spare Capacity (slots/year)</t>
  </si>
  <si>
    <t>Revenue per Visit (AED)</t>
  </si>
  <si>
    <t>VISITS PER SPECIALIST (annual)</t>
  </si>
  <si>
    <t xml:space="preserve">  Physio Clinic</t>
  </si>
  <si>
    <t xml:space="preserve">  Dental Clinic</t>
  </si>
  <si>
    <t xml:space="preserve">  GP</t>
  </si>
  <si>
    <t xml:space="preserve">  Gynecology</t>
  </si>
  <si>
    <t xml:space="preserve">  Polyclinic (GP+Gyno)</t>
  </si>
  <si>
    <t xml:space="preserve">  CLINIC AVERAGE</t>
  </si>
  <si>
    <t>Revenue per sqm (AED)</t>
  </si>
  <si>
    <t>UTILIZATION BY CHANNEL</t>
  </si>
  <si>
    <t>Retained Patient Utilization</t>
  </si>
  <si>
    <t>Organic + Referral Utilization</t>
  </si>
  <si>
    <t>Marketing Utilization</t>
  </si>
  <si>
    <t>Marketing Dependency (%)</t>
  </si>
  <si>
    <t>FTE REQUIREMENTS (demand-based)</t>
  </si>
  <si>
    <t>Physiotherapists</t>
  </si>
  <si>
    <t>Dentists</t>
  </si>
  <si>
    <t>GP / Specialist</t>
  </si>
  <si>
    <t>Cosmetologist</t>
  </si>
  <si>
    <t>TOTAL Required FTE</t>
  </si>
  <si>
    <t>Actual FTE (from Hiring Plan)</t>
  </si>
  <si>
    <t>FTE Surplus / (Deficit)</t>
  </si>
  <si>
    <t>SALES PLAN — Dual Validation</t>
  </si>
  <si>
    <t>Revenue Stream</t>
  </si>
  <si>
    <t>1. BOTTOM-UP REVENUE (from Price List × Qty × Inflation)</t>
  </si>
  <si>
    <t>TOTAL BOTTOM-UP</t>
  </si>
  <si>
    <t>2. TOP-DOWN TARGETS (Revenue at Full Capacity)</t>
  </si>
  <si>
    <t>TOTAL TARGET</t>
  </si>
  <si>
    <t>Full capacity = Bottom-Up ÷ Utilization Factor (from cohort model)</t>
  </si>
  <si>
    <t>3. GAP ANALYSIS (Target − Bottom-Up)</t>
  </si>
  <si>
    <t>Total Gap (AED)</t>
  </si>
  <si>
    <t>Gap (%)</t>
  </si>
  <si>
    <t>GAP Interpretation: positive = marketing needed to reach target</t>
  </si>
  <si>
    <t>4. REVENUE MIX (% of Total)</t>
  </si>
  <si>
    <t>5. REVENUE PER SQM</t>
  </si>
  <si>
    <t>Total Revenue / sqm</t>
  </si>
  <si>
    <t>6. PATIENT ACQUISITION EFFICIENCY</t>
  </si>
  <si>
    <t>Organic Revenue (cohort + referral)</t>
  </si>
  <si>
    <t>Full Capacity Revenue</t>
  </si>
  <si>
    <t>Revenue GAP to Full Capacity</t>
  </si>
  <si>
    <t>GAP as % of Full Capacity</t>
  </si>
  <si>
    <t>Marketing Spend (from PA)</t>
  </si>
  <si>
    <t>Marketing ROI (GAP Revenue ÷ Mkt Spend)</t>
  </si>
  <si>
    <t>STAFFING DETAIL — Revenue Sharing Model</t>
  </si>
  <si>
    <t>Share %</t>
  </si>
  <si>
    <t>REVENUE SHARING RATES (% of department revenue)</t>
  </si>
  <si>
    <t>TOTAL SALARY COST</t>
  </si>
  <si>
    <t>Cross-check: OpEx salary total</t>
  </si>
  <si>
    <t>Difference (should be 0)</t>
  </si>
  <si>
    <t>SALARY AS % OF TOTAL REVENUE</t>
  </si>
  <si>
    <t>Salary / Revenue</t>
  </si>
  <si>
    <t>FIXED STAFF (Salaried — not volume-dependent)</t>
  </si>
  <si>
    <t>Admin / Receptionist (×2)</t>
  </si>
  <si>
    <t>Head of Dept 1</t>
  </si>
  <si>
    <t>Head of Dept 2</t>
  </si>
  <si>
    <t>TOTAL STAFFING COST RECONCILIATION</t>
  </si>
  <si>
    <t>Revenue-Sharing Staff</t>
  </si>
  <si>
    <t>Fixed Salaried Staff</t>
  </si>
  <si>
    <t>GRAND TOTAL Staff Cost</t>
  </si>
  <si>
    <t>OPERATING EXPENSES (10 YEARS)</t>
  </si>
  <si>
    <t>Salaries and Rent adjusted by inflation annually</t>
  </si>
  <si>
    <t>Item</t>
  </si>
  <si>
    <t>COGS</t>
  </si>
  <si>
    <t>COGS Dental</t>
  </si>
  <si>
    <t>COGS Orthotics</t>
  </si>
  <si>
    <t>COGS Injections</t>
  </si>
  <si>
    <t>COGS Selling (Acquiring)</t>
  </si>
  <si>
    <t>COGS Selling (Returns)</t>
  </si>
  <si>
    <t>TOTAL COGS</t>
  </si>
  <si>
    <t>Marketing</t>
  </si>
  <si>
    <t xml:space="preserve">  ↳ PA model: GAP fill coverage (%)</t>
  </si>
  <si>
    <t xml:space="preserve">  ↳ PA model: full GAP budget (AED)</t>
  </si>
  <si>
    <t>TOTAL SALARY</t>
  </si>
  <si>
    <t>Fixed Staff Salaries</t>
  </si>
  <si>
    <t>Administrative</t>
  </si>
  <si>
    <t>R&amp;D</t>
  </si>
  <si>
    <t>Rent</t>
  </si>
  <si>
    <t>Management Fee (if external)</t>
  </si>
  <si>
    <t>TOTAL OPERATING COSTS</t>
  </si>
  <si>
    <t>% of Revenue</t>
  </si>
  <si>
    <t>PROFIT &amp; LOSS (10 YEARS)</t>
  </si>
  <si>
    <t>GROSS PROFIT</t>
  </si>
  <si>
    <t>Gross Margin</t>
  </si>
  <si>
    <t>Salary</t>
  </si>
  <si>
    <t>Fixed Staff</t>
  </si>
  <si>
    <t>CONTRIBUTION PROFIT</t>
  </si>
  <si>
    <t>Contribution Margin</t>
  </si>
  <si>
    <t>Management Fee</t>
  </si>
  <si>
    <t>Depreciation</t>
  </si>
  <si>
    <t>EBIT</t>
  </si>
  <si>
    <t>Corporate Tax</t>
  </si>
  <si>
    <t>NET PROFIT</t>
  </si>
  <si>
    <t>Net Margin</t>
  </si>
  <si>
    <t>Cash Earnings (Net Profit + Depr)</t>
  </si>
  <si>
    <t>MONTHLY P&amp;L — YEAR 1 DETAIL + ANNUAL 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</si>
  <si>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</si>
  <si>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</si>
  <si>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</si>
  <si>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</si>
  <si>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</si>
  <si>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</si>
  <si>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</si>
  <si>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</si>
  <si>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</si>
  <si>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</si>
  <si>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</si>
  <si>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</si>
  <si>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Y1</t>
  </si>
  <si>
    <t>Ramp-up Factor (S-curve)</t>
  </si>
  <si>
    <t>Seasonality Factor (Dubai)</t>
  </si>
  <si>
    <t>Cash Earnings (NP + Depr)</t>
  </si>
  <si>
    <t>Cumulative EBITDA</t>
  </si>
  <si>
    <t>Cumulative Net Profit</t>
  </si>
  <si>
    <t>CAPITAL EXPENDITURE</t>
  </si>
  <si>
    <t>Active (AED)</t>
  </si>
  <si>
    <t>Rent Deposit (3 months)</t>
  </si>
  <si>
    <t>3 months advance</t>
  </si>
  <si>
    <t>Renovation &amp; Fit-out</t>
  </si>
  <si>
    <t>AED 3,800/sqm</t>
  </si>
  <si>
    <t>Physio Equipment</t>
  </si>
  <si>
    <t>Pressotherapy</t>
  </si>
  <si>
    <t>Cryotherapy (Gameready)</t>
  </si>
  <si>
    <t>Shockwave Therapy (BTL)</t>
  </si>
  <si>
    <t>Magnetic Field (BTL)</t>
  </si>
  <si>
    <t>Laser Therapy (BTL)</t>
  </si>
  <si>
    <t>Other physio</t>
  </si>
  <si>
    <t>Physio Subtotal</t>
  </si>
  <si>
    <t>Assessment Equipment</t>
  </si>
  <si>
    <t>Postural Diagnosis (Diers)</t>
  </si>
  <si>
    <t>Plantograph (Sidas)</t>
  </si>
  <si>
    <t>Force Plates (Hawkins)</t>
  </si>
  <si>
    <t>Other assessment</t>
  </si>
  <si>
    <t>Assessment Subtotal</t>
  </si>
  <si>
    <t>Dental chairs (×3)</t>
  </si>
  <si>
    <t>3 × 80K</t>
  </si>
  <si>
    <t>X-Ray (dental)</t>
  </si>
  <si>
    <t>Small dental equipment</t>
  </si>
  <si>
    <t>Dental Subtotal</t>
  </si>
  <si>
    <t>Laboratory &amp; Medical Equipment</t>
  </si>
  <si>
    <t>PRP, sterilization, fridge</t>
  </si>
  <si>
    <t>Cosmetology &amp; Beauty</t>
  </si>
  <si>
    <t>Office &amp; IT</t>
  </si>
  <si>
    <t>Furniture</t>
  </si>
  <si>
    <t>Medical Furniture (10 beds)</t>
  </si>
  <si>
    <t>PCs (×8)</t>
  </si>
  <si>
    <t>Printers</t>
  </si>
  <si>
    <t>PMS / CRM / Booking</t>
  </si>
  <si>
    <t>Clinical software</t>
  </si>
  <si>
    <t>Office &amp; IT Subtotal</t>
  </si>
  <si>
    <t>Pre-operational Planning</t>
  </si>
  <si>
    <t>Design / MEP / Engineering</t>
  </si>
  <si>
    <t>Licensing &amp; Legal</t>
  </si>
  <si>
    <t>MOCCAE, DM, DED</t>
  </si>
  <si>
    <t>HR Hiring Core Team</t>
  </si>
  <si>
    <t>Healthcare Licensing (DHA)</t>
  </si>
  <si>
    <t>Marketing Strategy (launch)</t>
  </si>
  <si>
    <t>Branding, website</t>
  </si>
  <si>
    <t>Insurance DB Purchase</t>
  </si>
  <si>
    <t>Pre-operational Subtotal</t>
  </si>
  <si>
    <t>Initial Inventory</t>
  </si>
  <si>
    <t>Medications, supplies</t>
  </si>
  <si>
    <t>Pre-opening Salaries (3 mo)</t>
  </si>
  <si>
    <t>Core team × deposit months</t>
  </si>
  <si>
    <t>Working Capital</t>
  </si>
  <si>
    <t>Rent + staff × deposit months</t>
  </si>
  <si>
    <t>SUBTOTAL</t>
  </si>
  <si>
    <t>Contingency (5%)</t>
  </si>
  <si>
    <t>TOTAL CAPEX</t>
  </si>
  <si>
    <t>DEPRECIATION SPLIT</t>
  </si>
  <si>
    <t>Depreciable Assets (fit-out + equipment + design)</t>
  </si>
  <si>
    <t>Renovation, equipment, design/MEP</t>
  </si>
  <si>
    <t>Non-depreciable (deposit, WC, inventory, salaries, mkt, licenses)</t>
  </si>
  <si>
    <t>Deposit, working capital, pre-op expenses</t>
  </si>
  <si>
    <t>CHECK (should = Total CapEx)</t>
  </si>
  <si>
    <t>CASH FLOW &amp; DCF ANALYSIS</t>
  </si>
  <si>
    <t>Date</t>
  </si>
  <si>
    <t>Year 0</t>
  </si>
  <si>
    <t>Capital Investment</t>
  </si>
  <si>
    <t>Operating Cash Flow</t>
  </si>
  <si>
    <t>Net Cash Flow</t>
  </si>
  <si>
    <t>Cumulative Cash Flow</t>
  </si>
  <si>
    <t>Exit Proceeds (net of tax)</t>
  </si>
  <si>
    <t>CF + Exit (5Y)</t>
  </si>
  <si>
    <t>CF + Exit (10Y)</t>
  </si>
  <si>
    <t>Discount Factor</t>
  </si>
  <si>
    <t>Discounted Cash Flow</t>
  </si>
  <si>
    <t>Cumulative DCF</t>
  </si>
  <si>
    <t>KEY INVESTMENT METRICS</t>
  </si>
  <si>
    <t>NPV (AED)</t>
  </si>
  <si>
    <t>XIRR (%)</t>
  </si>
  <si>
    <t>Simple Payback (months)</t>
  </si>
  <si>
    <t>Equity Multiple (×)</t>
  </si>
  <si>
    <t>Profit-on-Cost (%)</t>
  </si>
  <si>
    <t>WITH EXIT (Base 8× EBITDA)</t>
  </si>
  <si>
    <t>Exit Value (net of 9% tax)</t>
  </si>
  <si>
    <t>NPV with Exit (AED)</t>
  </si>
  <si>
    <t>IRR with Exit (%)</t>
  </si>
  <si>
    <t>MOIC with Exit (×)</t>
  </si>
  <si>
    <t>MOIC Cash-only (×)</t>
  </si>
  <si>
    <t>Exit EBITDA Multiple</t>
  </si>
  <si>
    <t>INVESTOR MODEL</t>
  </si>
  <si>
    <t>INVESTOR ASSUMPTIONS</t>
  </si>
  <si>
    <t>Total CapEx (AED)</t>
  </si>
  <si>
    <t>Investment Amount</t>
  </si>
  <si>
    <t>Working Capital (included in CapEx above, shown for reference)</t>
  </si>
  <si>
    <t>Included in investment</t>
  </si>
  <si>
    <t>CapEx already includes WC (line 12 of CapEx breakdown)</t>
  </si>
  <si>
    <t>EQUITY MODEL ASSUMPTIONS</t>
  </si>
  <si>
    <t>Investor Equity Stake (%)</t>
  </si>
  <si>
    <t>% of company acquired</t>
  </si>
  <si>
    <t>Dividend Payout Ratio (%)</t>
  </si>
  <si>
    <t>% of Net Profit distributed</t>
  </si>
  <si>
    <t>Preferred Return (%)</t>
  </si>
  <si>
    <t>Min return before founder dividends</t>
  </si>
  <si>
    <t>REVENUE SHARE MODEL ASSUMPTIONS</t>
  </si>
  <si>
    <t>Revenue Share Rate (%)</t>
  </si>
  <si>
    <t>% of monthly revenue to investor</t>
  </si>
  <si>
    <t>Target Return Multiple (×)</t>
  </si>
  <si>
    <t>Total return cap on investment</t>
  </si>
  <si>
    <t>Grace Period (months)</t>
  </si>
  <si>
    <t>No payments during ramp-up</t>
  </si>
  <si>
    <t>EQUITY MODEL — INVESTOR RETURNS</t>
  </si>
  <si>
    <t>Investor Capital Outflow</t>
  </si>
  <si>
    <t>Dividends (total)</t>
  </si>
  <si>
    <t>Investor Dividend Share</t>
  </si>
  <si>
    <t>Investor Net Cash Flow</t>
  </si>
  <si>
    <t>Investor Cumulative CF</t>
  </si>
  <si>
    <t>Exit Value (Base 8×)</t>
  </si>
  <si>
    <t>Investor Exit Share</t>
  </si>
  <si>
    <t>Tax on Exit Gain</t>
  </si>
  <si>
    <t>Investor Net Exit Proceeds</t>
  </si>
  <si>
    <t>Total Return (CF + Exit) — 5Y</t>
  </si>
  <si>
    <t>Total Return (CF + Exit) — 10Y</t>
  </si>
  <si>
    <t>REVENUE SHARE MODEL — INVESTOR RETURNS</t>
  </si>
  <si>
    <t>Revenue Share Payment</t>
  </si>
  <si>
    <t>Cap Remaining</t>
  </si>
  <si>
    <t>Payment (capped)</t>
  </si>
  <si>
    <t>Total Paid to Investor</t>
  </si>
  <si>
    <t>Effective Cost to Company (% Rev)</t>
  </si>
  <si>
    <t>Months to Full Payback</t>
  </si>
  <si>
    <t>COMPARISON: EQUITY vs REVENUE SHARE</t>
  </si>
  <si>
    <t>Equity Model</t>
  </si>
  <si>
    <t>Revenue Share</t>
  </si>
  <si>
    <t>Winner</t>
  </si>
  <si>
    <t>Investor % Ownership</t>
  </si>
  <si>
    <t>INVESTOR PERSPECTIVE</t>
  </si>
  <si>
    <t>Annual Cash Yield (Y3)</t>
  </si>
  <si>
    <t>5-Year Total Return (CF + Exit)</t>
  </si>
  <si>
    <t>10-Year Total Return (CF + Exit)</t>
  </si>
  <si>
    <t>5-Year MOIC</t>
  </si>
  <si>
    <t>10-Year MOIC</t>
  </si>
  <si>
    <t>Payback Period (months)</t>
  </si>
  <si>
    <t>COMPANY PERSPECTIVE</t>
  </si>
  <si>
    <t>Total Cash Paid to Investor (10Y)</t>
  </si>
  <si>
    <t>Retains 100% Ownership?</t>
  </si>
  <si>
    <t>No</t>
  </si>
  <si>
    <t>Yes</t>
  </si>
  <si>
    <t>FOUNDER PERSPECTIVE</t>
  </si>
  <si>
    <t>Ownership Retained</t>
  </si>
  <si>
    <t>10Y Salary Income</t>
  </si>
  <si>
    <t>10Y Dividend Income</t>
  </si>
  <si>
    <t>10Y Revenue Share Cost</t>
  </si>
  <si>
    <t>Exit Proceeds (10Y)</t>
  </si>
  <si>
    <t>TOTAL 5Y Founder Return</t>
  </si>
  <si>
    <t>TOTAL 10Y Founder Return</t>
  </si>
  <si>
    <t>Revenue Share Advantage</t>
  </si>
  <si>
    <t>FOUNDER RETURNS ANALYSIS</t>
  </si>
  <si>
    <t>Founder Salary CEO (AED/year)</t>
  </si>
  <si>
    <t xml:space="preserve">  Founder Salary</t>
  </si>
  <si>
    <t xml:space="preserve">  Founder Annual Cash</t>
  </si>
  <si>
    <t xml:space="preserve">  Cumulative Cash</t>
  </si>
  <si>
    <t xml:space="preserve">  TOTAL 5Y Founder Return</t>
  </si>
  <si>
    <t xml:space="preserve">  TOTAL 10Y Founder Return</t>
  </si>
  <si>
    <t xml:space="preserve">  Founder Dividends (100%)</t>
  </si>
  <si>
    <t xml:space="preserve">  Less: Revenue Share Paid</t>
  </si>
  <si>
    <t xml:space="preserve">  Exit Equity (100%)</t>
  </si>
  <si>
    <t>EXIT SENSITIVITY — INVESTOR DOWNSIDE PROTECTION</t>
  </si>
  <si>
    <t>SCENARIO: NO EXIT (Cash-Only Returns)</t>
  </si>
  <si>
    <t>Cumulative Dividends (5Y)</t>
  </si>
  <si>
    <t>Cumulative Dividends (10Y)</t>
  </si>
  <si>
    <t>Cash-Only MOIC (5Y)</t>
  </si>
  <si>
    <t>Cash-Only MOIC (10Y)</t>
  </si>
  <si>
    <t>Cash-Only Payback (months)</t>
  </si>
  <si>
    <t>Breakeven Exit Multiple (5Y)</t>
  </si>
  <si>
    <t>SENSITIVITY: Investor MOIC by Exit Multiple &amp; Timing</t>
  </si>
  <si>
    <t>Exit Multiple →</t>
  </si>
  <si>
    <t>No Exit</t>
  </si>
  <si>
    <t>4×</t>
  </si>
  <si>
    <t>6×</t>
  </si>
  <si>
    <t>8×</t>
  </si>
  <si>
    <t>10×</t>
  </si>
  <si>
    <t>12×</t>
  </si>
  <si>
    <t>15×</t>
  </si>
  <si>
    <t>Exit Year 5 — MOIC</t>
  </si>
  <si>
    <t>Exit Year 7 — MOIC</t>
  </si>
  <si>
    <t>Exit Year 10 — MOIC</t>
  </si>
  <si>
    <t>KEY DOWNSIDE METRICS</t>
  </si>
  <si>
    <t>multiple where MOIC ≥ 1.0×</t>
  </si>
  <si>
    <t>Breakeven Exit Multiple (10Y)</t>
  </si>
  <si>
    <t>dividends already cover, exit is bonus</t>
  </si>
  <si>
    <t>Cash-Only Payback (no exit)</t>
  </si>
  <si>
    <t>months until dividends repay investment</t>
  </si>
  <si>
    <t>months</t>
  </si>
  <si>
    <t>Revenue Share: NO EXIT RISK</t>
  </si>
  <si>
    <t>pays 2.5× regardless of exit event</t>
  </si>
  <si>
    <t>guaranteed</t>
  </si>
  <si>
    <t>EXIT VALUATION &amp; RETURN ANALYSIS (AED)</t>
  </si>
  <si>
    <t>EXIT ASSUMPTIONS</t>
  </si>
  <si>
    <t>Low multiple (conservative)</t>
  </si>
  <si>
    <t>Base multiple</t>
  </si>
  <si>
    <t>High multiple (premium)</t>
  </si>
  <si>
    <t>Terminal growth rate (DCF)</t>
  </si>
  <si>
    <t>Discount rate (WACC)</t>
  </si>
  <si>
    <t>Total CapEx (investment)</t>
  </si>
  <si>
    <t>EBITDA MULTIPLE VALUATION</t>
  </si>
  <si>
    <t>Exit Year</t>
  </si>
  <si>
    <t>EV (Low)</t>
  </si>
  <si>
    <t>EV (Base)</t>
  </si>
  <si>
    <t>EV (High)</t>
  </si>
  <si>
    <t>MOIC</t>
  </si>
  <si>
    <t>NET EXIT VALUE (9% tax on gain &gt; 375K AED)</t>
  </si>
  <si>
    <t>Gain</t>
  </si>
  <si>
    <t>Tax (9%)</t>
  </si>
  <si>
    <t>Net Proceeds</t>
  </si>
  <si>
    <t>IRR SENSITIVITY: EXIT YEAR × MULTIPLE</t>
  </si>
  <si>
    <t>Exit Year \ Multiple</t>
  </si>
  <si>
    <t>EXIT STRATEGY COMPARISON</t>
  </si>
  <si>
    <t>Strategy</t>
  </si>
  <si>
    <t>Timeline</t>
  </si>
  <si>
    <t>Typical Multiple</t>
  </si>
  <si>
    <t>Pros</t>
  </si>
  <si>
    <t>Cons</t>
  </si>
  <si>
    <t>Likelihood</t>
  </si>
  <si>
    <t>Trade Sale (to operator)</t>
  </si>
  <si>
    <t>3-7 years</t>
  </si>
  <si>
    <t>6-10×</t>
  </si>
  <si>
    <t>Clean exit, synergies</t>
  </si>
  <si>
    <t>Lower multiples</t>
  </si>
  <si>
    <t>High</t>
  </si>
  <si>
    <t>PE / Fund Sale</t>
  </si>
  <si>
    <t>5-7 years</t>
  </si>
  <si>
    <t>8-12×</t>
  </si>
  <si>
    <t>Higher valuations</t>
  </si>
  <si>
    <t>Complex due diligence</t>
  </si>
  <si>
    <t>Medium</t>
  </si>
  <si>
    <t>Strategic (hospital group)</t>
  </si>
  <si>
    <t>5-10 years</t>
  </si>
  <si>
    <t>10-15×</t>
  </si>
  <si>
    <t>Premium pricing</t>
  </si>
  <si>
    <t>Long timeline</t>
  </si>
  <si>
    <t>Management Buyout</t>
  </si>
  <si>
    <t>3-5 years</t>
  </si>
  <si>
    <t>5-8×</t>
  </si>
  <si>
    <t>Fast, known buyer</t>
  </si>
  <si>
    <t>Limited upside</t>
  </si>
  <si>
    <t>Hold &amp; Distribute</t>
  </si>
  <si>
    <t>Ongoing</t>
  </si>
  <si>
    <t>N/A</t>
  </si>
  <si>
    <t>Cash flow stream</t>
  </si>
  <si>
    <t>No liquidity event</t>
  </si>
  <si>
    <t>CUMULATIVE CASH + EXIT VALUE (Base 8× EBITDA)</t>
  </si>
  <si>
    <t>Cumul. Cash Flow</t>
  </si>
  <si>
    <t>Exit Value (8×)</t>
  </si>
  <si>
    <t>Total Value</t>
  </si>
  <si>
    <t>vs CapEx</t>
  </si>
  <si>
    <t>VALUATION GUIDELINES — Dubai Healthcare Market</t>
  </si>
  <si>
    <t>• Dubai private clinics typically trade at 6-10× EBITDA depending on specialization mix</t>
  </si>
  <si>
    <t>• Clinics with strong recurring patient base (physio/dental) command premium multiples</t>
  </si>
  <si>
    <t>• DHA license, brand value, and location significantly impact exit valuations</t>
  </si>
  <si>
    <t>• Revenue-sharing model reduces fixed cost risk → attractive to acquirers</t>
  </si>
  <si>
    <t>• Healthcare M&amp;A in GCC has been growing 15-20% annually (2022-2025)</t>
  </si>
  <si>
    <t>• Typical PE holding period: 5-7 years with 2.5-3.5× MOIC target</t>
  </si>
  <si>
    <t>SENSITIVITY ANALYSIS</t>
  </si>
  <si>
    <t>BASE CASE REFERENCES</t>
  </si>
  <si>
    <t>Total CapEx</t>
  </si>
  <si>
    <t>Y5 EBITDA</t>
  </si>
  <si>
    <t>Y10 EBITDA</t>
  </si>
  <si>
    <t>Y5 Revenue</t>
  </si>
  <si>
    <t>1. REVENUE SENSITIVITY (±30%)</t>
  </si>
  <si>
    <t>Scenario</t>
  </si>
  <si>
    <t>Rev Adj</t>
  </si>
  <si>
    <t>Y5 Margin</t>
  </si>
  <si>
    <t>Y10 Revenue</t>
  </si>
  <si>
    <t>Y10 Margin</t>
  </si>
  <si>
    <t>Severe Downside</t>
  </si>
  <si>
    <t>Downside</t>
  </si>
  <si>
    <t>Mild Downside</t>
  </si>
  <si>
    <t>BASE CASE</t>
  </si>
  <si>
    <t>Mild Upside</t>
  </si>
  <si>
    <t>Upside</t>
  </si>
  <si>
    <t>Strong Upside</t>
  </si>
  <si>
    <t>2. CAPEX SENSITIVITY (±30%)</t>
  </si>
  <si>
    <t>CapEx Adj</t>
  </si>
  <si>
    <t>Adjusted CapEx</t>
  </si>
  <si>
    <t>Payback Factor</t>
  </si>
  <si>
    <t>10Y NPV Impact</t>
  </si>
  <si>
    <t>CapEx -30%</t>
  </si>
  <si>
    <t>CapEx -20%</t>
  </si>
  <si>
    <t>CapEx -10%</t>
  </si>
  <si>
    <t>BASE</t>
  </si>
  <si>
    <t>CapEx +10%</t>
  </si>
  <si>
    <t>CapEx +20%</t>
  </si>
  <si>
    <t>CapEx +30%</t>
  </si>
  <si>
    <t>3. TWO-WAY: Y5 EBITDA at Revenue × Staff Cost</t>
  </si>
  <si>
    <t>Rev \ Staff Adj</t>
  </si>
  <si>
    <t>Staff -20%</t>
  </si>
  <si>
    <t>Staff -10%</t>
  </si>
  <si>
    <t>Staff +10%</t>
  </si>
  <si>
    <t>Staff +20%</t>
  </si>
  <si>
    <t>Rev -20%</t>
  </si>
  <si>
    <t>Rev -10%</t>
  </si>
  <si>
    <t>Rev +10%</t>
  </si>
  <si>
    <t>Rev +20%</t>
  </si>
  <si>
    <t>Values = Y5 EBITDA (AED). Staff adj applies to total OpEx staff costs.</t>
  </si>
  <si>
    <t>4. STAFFING COST SCENARIOS</t>
  </si>
  <si>
    <t>Rev-Share Adj</t>
  </si>
  <si>
    <t>Fixed Staff Adj</t>
  </si>
  <si>
    <t>Y3 EBITDA Impact</t>
  </si>
  <si>
    <t>Y5 EBITDA Impact</t>
  </si>
  <si>
    <t>Description</t>
  </si>
  <si>
    <t>Base Case</t>
  </si>
  <si>
    <t>0%</t>
  </si>
  <si>
    <t>Current model assumptions</t>
  </si>
  <si>
    <t>Higher Sharing Rates</t>
  </si>
  <si>
    <t>+5pp</t>
  </si>
  <si>
    <t>Specialist premium (demand-driven)</t>
  </si>
  <si>
    <t>Full Market Salaries</t>
  </si>
  <si>
    <t>+25%</t>
  </si>
  <si>
    <t>All staff at market midpoint</t>
  </si>
  <si>
    <t>Staff Expansion (+2 FTE)</t>
  </si>
  <si>
    <t>+240K</t>
  </si>
  <si>
    <t>Growth requires additional hires</t>
  </si>
  <si>
    <t>Efficiency Gain (-1 FTE)</t>
  </si>
  <si>
    <t>-120K</t>
  </si>
  <si>
    <t>Process optimization / tech adoption</t>
  </si>
  <si>
    <t>5. BREAKEVEN THRESHOLDS</t>
  </si>
  <si>
    <t>Calculation</t>
  </si>
  <si>
    <t>Revenue needed to cover all fixed costs</t>
  </si>
  <si>
    <t>BE Revenue ÷ Revenue per Visit</t>
  </si>
  <si>
    <t>Monthly patient count to break even</t>
  </si>
  <si>
    <t>BE Patients ÷ Monthly Capacity</t>
  </si>
  <si>
    <t>Capacity needed to break even</t>
  </si>
  <si>
    <t>First month with positive EBITDA</t>
  </si>
  <si>
    <t>When cumulative monthly P&amp;L turns positive</t>
  </si>
  <si>
    <t>Time to recover initial investment</t>
  </si>
  <si>
    <t>6. MANAGEMENT MODE IMPACT</t>
  </si>
  <si>
    <t>Difference</t>
  </si>
  <si>
    <t>Annual cost of brand</t>
  </si>
  <si>
    <t>With escalation</t>
  </si>
  <si>
    <t>Y1 EBITDA Impact</t>
  </si>
  <si>
    <t>Direct EBITDA reduction</t>
  </si>
  <si>
    <t>Approx cumulative</t>
  </si>
  <si>
    <t>PATIENT ACQUISITION — COHORT + STEP-FUNCTION MODEL</t>
  </si>
  <si>
    <t>YEAR 1 MONTHLY PATIENT TRAFFIC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</si>
  <si>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</si>
  <si>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</si>
  <si>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</si>
  <si>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</si>
  <si>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</si>
  <si>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</si>
  <si>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</si>
  <si>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</si>
  <si>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</si>
  <si>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</si>
  <si>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Monthly Capacity (slots)</t>
  </si>
  <si>
    <t>Patients (launch ramp)</t>
  </si>
  <si>
    <t>Target (= launch ramp, no monthly GAP)</t>
  </si>
  <si>
    <t>GAP Patients (marketing-driven)</t>
  </si>
  <si>
    <t>TOTAL Patients</t>
  </si>
  <si>
    <t>Utilization Rate</t>
  </si>
  <si>
    <t>MARKETING BUDGET TO FILL GAP (Year 1)</t>
  </si>
  <si>
    <t>Cost per Incremental Patient (AED)</t>
  </si>
  <si>
    <t>Marketing Spend to Fill GAP</t>
  </si>
  <si>
    <t>Base Marketing (brand/agency)</t>
  </si>
  <si>
    <t>TOTAL Marketing Budget</t>
  </si>
  <si>
    <t>Note: Uncapped GAP spend above. Annual cap applied in row 31 (Assumptions!B146)</t>
  </si>
  <si>
    <t>ANNUAL COHORT MODEL (10 Years)</t>
  </si>
  <si>
    <t>Annual Visit Capacity</t>
  </si>
  <si>
    <t>Total Visits (cohort-derived)</t>
  </si>
  <si>
    <t>Utilization (%)</t>
  </si>
  <si>
    <t>UNIQUE PATIENTS</t>
  </si>
  <si>
    <t>Total Unique Patients</t>
  </si>
  <si>
    <t xml:space="preserve">  Retained from Prior Year</t>
  </si>
  <si>
    <t xml:space="preserve">  Referral (word-of-mouth)</t>
  </si>
  <si>
    <t xml:space="preserve">  Walk-in / Organic New</t>
  </si>
  <si>
    <t xml:space="preserve">  Marketing (paid acquisition)</t>
  </si>
  <si>
    <t xml:space="preserve">  CHECK: Δ (should = 0)</t>
  </si>
  <si>
    <t>VISITS BY SOURCE</t>
  </si>
  <si>
    <t xml:space="preserve">  Visits — Retained Patients</t>
  </si>
  <si>
    <t xml:space="preserve">  Visits — Referral + Walk-in</t>
  </si>
  <si>
    <t xml:space="preserve">  Visits — Marketing</t>
  </si>
  <si>
    <t xml:space="preserve">  Total (check = row 22)</t>
  </si>
  <si>
    <t>UNIT ECONOMICS — COHORT-BASED</t>
  </si>
  <si>
    <t>Avg Revenue per Visit</t>
  </si>
  <si>
    <t>Avg Revenue per Patient/yr</t>
  </si>
  <si>
    <t>Annual Marketing Budget</t>
  </si>
  <si>
    <t>CAC per Marketing Patient (pure)</t>
  </si>
  <si>
    <t>Blended Cost per Mkt Patient</t>
  </si>
  <si>
    <t>Patient Lifetime (years)</t>
  </si>
  <si>
    <t>Patient LTV (lifetime revenue)</t>
  </si>
  <si>
    <t>LTV:CAC Ratio</t>
  </si>
  <si>
    <t>CAC Payback (months)</t>
  </si>
  <si>
    <t>Blended CAC (all new patients)</t>
  </si>
  <si>
    <t>Cost per Marketing Visit</t>
  </si>
  <si>
    <t>ROMI (Return on Marketing Investment)</t>
  </si>
  <si>
    <t>VISITS BY DEPARTMENT &amp; CHANNEL</t>
  </si>
  <si>
    <t xml:space="preserve">  Unique patients</t>
  </si>
  <si>
    <t xml:space="preserve">  Retained visits</t>
  </si>
  <si>
    <t xml:space="preserve">  New Organic+Referral</t>
  </si>
  <si>
    <t xml:space="preserve">  New marketing</t>
  </si>
  <si>
    <t>GRAND TOTAL</t>
  </si>
  <si>
    <t xml:space="preserve">  Retained</t>
  </si>
  <si>
    <t xml:space="preserve">  Organic</t>
  </si>
  <si>
    <t xml:space="preserve">  Marketing</t>
  </si>
  <si>
    <t>COHORT-BASED MARKETING BUDGET</t>
  </si>
  <si>
    <t>Acquisition (CAC × New Mkt Patients)</t>
  </si>
  <si>
    <t>Retention (cost × Retained Patients)</t>
  </si>
  <si>
    <t>Base Brand (agency + SMM)</t>
  </si>
  <si>
    <t>Marketing % of Revenue</t>
  </si>
  <si>
    <t>Comparison: %-of-Revenue method</t>
  </si>
  <si>
    <t>STAFF UTILIZATION BY DEPARTMENT</t>
  </si>
  <si>
    <t>── Utilization (%) ──</t>
  </si>
  <si>
    <t>% of cap</t>
  </si>
  <si>
    <t xml:space="preserve">  Polyclinic (GP+Gyn)</t>
  </si>
  <si>
    <t>── Visits per Specialist per Day ──</t>
  </si>
  <si>
    <t>pts/day</t>
  </si>
  <si>
    <t>── Binding Constraint ──</t>
  </si>
  <si>
    <t>limit</t>
  </si>
  <si>
    <t>DATA SOURCES &amp; VALIDATION LOG</t>
  </si>
  <si>
    <t>Reference / URL</t>
  </si>
  <si>
    <t>Rent Rates</t>
  </si>
  <si>
    <t>CBRE Dubai Market Report</t>
  </si>
  <si>
    <t>2024</t>
  </si>
  <si>
    <t>Studio City commercial rates</t>
  </si>
  <si>
    <t>Medical Equipment Pricing</t>
  </si>
  <si>
    <t>BTL Industries, Sidas, Hawkins</t>
  </si>
  <si>
    <t>Direct quotations</t>
  </si>
  <si>
    <t>Renovation Costs</t>
  </si>
  <si>
    <t>Local contractor estimates</t>
  </si>
  <si>
    <t>AED 3,800/sqm average</t>
  </si>
  <si>
    <t>DHA License Fees</t>
  </si>
  <si>
    <t>Dubai Health Authority</t>
  </si>
  <si>
    <t>https://www.dha.gov.ae</t>
  </si>
  <si>
    <t>Insurance Rates</t>
  </si>
  <si>
    <t>Dubai market survey</t>
  </si>
  <si>
    <t>Medical malpractice + general</t>
  </si>
  <si>
    <t>Salary Benchmarks</t>
  </si>
  <si>
    <t>Robert Half / Hays UAE</t>
  </si>
  <si>
    <t>Healthcare sector survey</t>
  </si>
  <si>
    <t>UAE Central Bank</t>
  </si>
  <si>
    <t>4% long-term average</t>
  </si>
  <si>
    <t>UAE Federal Tax Authority</t>
  </si>
  <si>
    <t>9% on profit &gt; AED 375K</t>
  </si>
  <si>
    <t>WACC/Discount Rate</t>
  </si>
  <si>
    <t>Industry standard</t>
  </si>
  <si>
    <t>12% for healthcare startups in UAE</t>
  </si>
  <si>
    <t>Revenue Sharing</t>
  </si>
  <si>
    <t>Industry practice</t>
  </si>
  <si>
    <t>Physio 50%, Dental 45%, Others 40%</t>
  </si>
  <si>
    <t>Patient Volume Estimates</t>
  </si>
  <si>
    <t>Market analysis</t>
  </si>
  <si>
    <t>Based on Studio City demographics</t>
  </si>
  <si>
    <t>Property Prices</t>
  </si>
  <si>
    <t>Property Finder Dubai</t>
  </si>
  <si>
    <t>Commercial property in Studio City</t>
  </si>
  <si>
    <t>Dubai Salary Benchmarks</t>
  </si>
  <si>
    <t>allocationassist.com, Indeed.ae, SalaryExpert</t>
  </si>
  <si>
    <t>Feb 2026</t>
  </si>
  <si>
    <t>Fixed staff salary validation</t>
  </si>
  <si>
    <t>S-curve Traffic Model</t>
  </si>
  <si>
    <t>Healthcare analytics best practice</t>
  </si>
  <si>
    <t>2025</t>
  </si>
  <si>
    <t>Organic patient acquisition modeling</t>
  </si>
  <si>
    <t>Management Fee Benchmarks</t>
  </si>
  <si>
    <t>Dubai clinic market research</t>
  </si>
  <si>
    <t>5-10% of revenue for branded management</t>
  </si>
  <si>
    <t>DHA Space Norms</t>
  </si>
  <si>
    <t>Dubai Health Authority facility guidelines</t>
  </si>
  <si>
    <t>Minimum room sizes and layouts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</si>
</sst>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0.0%"/>
    <numFmt numFmtId="165" formatCode="0.0"/>
    <numFmt numFmtId="166" formatCode="#,##0;\(#,##0\);\-"/>
    <numFmt numFmtId="167" formatCode="0.000"/>
    <numFmt numFmtId="168" formatCode="0.0\×"/>
    <numFmt numFmtId="169" formatCode="0.00\×"/>
    <numFmt numFmtId="170" formatCode="0.0\x"/>
    <numFmt numFmtId="171" formatCode="yyyy\-mm\-dd"/>
    <numFmt numFmtId="172" formatCode="0.0000"/>
    <numFmt numFmtId="173" formatCode="_(* #,##0_);_(* \(#,##0\);_(* &quot;-&quot;??_);_(@_)"/>
    <numFmt numFmtId="174" formatCode="\+0%;\-0%;0%"/>
    <numFmt numFmtId="175" formatCode="0\×"/>
    <numFmt numFmtId="176" formatCode="\+#,##0;\-#,##0;\-"/>
  </numFmts>
  <fonts count="10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A3C40"/>
      <name val="Calibri"/>
      <family val="2"/>
    </font>
    <font>
      <i/>
      <sz val="8"/>
      <color rgb="FF808080"/>
      <name val="Calibri"/>
      <family val="2"/>
    </font>
    <font>
      <b/>
      <sz val="11"/>
      <color rgb="FF0D7377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0000FF"/>
      <name val="Calibri"/>
      <family val="2"/>
    </font>
    <font>
      <i/>
      <sz val="9"/>
      <color rgb="FF666666"/>
      <name val="Arial"/>
      <family val="2"/>
    </font>
    <font>
      <sz val="11"/>
      <name val="Cambria"/>
      <family val="1"/>
    </font>
    <font>
      <b/>
      <sz val="10"/>
      <color rgb="FF1A3C40"/>
      <name val="Arial"/>
      <family val="2"/>
    </font>
    <font>
      <i/>
      <sz val="9"/>
      <color rgb="FF555555"/>
      <name val="Arial"/>
      <family val="2"/>
    </font>
    <font>
      <sz val="10"/>
      <color rgb="FF0000FF"/>
      <name val="Arial"/>
      <family val="2"/>
    </font>
    <font>
      <i/>
      <sz val="9"/>
      <color rgb="FF999999"/>
      <name val="Arial"/>
      <family val="2"/>
    </font>
    <font>
      <b/>
      <sz val="11"/>
      <color rgb="FF1A3C40"/>
      <name val="Arial"/>
      <family val="2"/>
    </font>
    <font>
      <b/>
      <sz val="10"/>
      <color rgb="FF0D47A1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Calibri"/>
      <family val="2"/>
    </font>
    <font>
      <b/>
      <sz val="10"/>
      <color rgb="FF1A3C40"/>
      <name val="Calibri"/>
      <family val="2"/>
    </font>
    <font>
      <b/>
      <sz val="10"/>
      <color rgb="FF000000"/>
      <name val="Calibri"/>
      <family val="2"/>
    </font>
    <font>
      <b/>
      <sz val="10"/>
      <name val="Arial"/>
      <family val="2"/>
    </font>
    <font>
      <i/>
      <sz val="9"/>
      <color rgb="FF008000"/>
      <name val="Arial"/>
      <family val="2"/>
    </font>
    <font>
      <b/>
      <sz val="11"/>
      <color rgb="FFFFFFFF"/>
      <name val="Arial"/>
      <family val="2"/>
    </font>
    <font>
      <b/>
      <sz val="10"/>
      <color rgb="FF1A3C40"/>
      <name val="Arial"/>
      <family val="2"/>
    </font>
    <font>
      <sz val="10"/>
      <name val="Arial"/>
      <family val="2"/>
    </font>
    <font>
      <i/>
      <sz val="9"/>
      <color rgb="FF999999"/>
      <name val="Arial"/>
      <family val="2"/>
    </font>
    <font>
      <b/>
      <sz val="10"/>
      <color rgb="FF0D47A1"/>
      <name val="Arial"/>
      <family val="2"/>
    </font>
    <font>
      <sz val="10"/>
      <color rgb="FF0000FF"/>
      <name val="Arial"/>
      <family val="2"/>
    </font>
    <font>
      <sz val="11"/>
      <name val="Calibri"/>
      <family val="2"/>
    </font>
    <font>
      <b/>
      <sz val="10"/>
      <color rgb="FF0000FF"/>
      <name val="Arial"/>
      <family val="2"/>
    </font>
    <font>
      <sz val="9"/>
      <color rgb="FF666666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10"/>
      <color rgb="FFFFFFFF"/>
      <name val="Calibri"/>
      <family val="2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mbria"/>
      <family val="1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Calibri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8000"/>
      <name val="Calibri"/>
      <family val="2"/>
    </font>
    <font>
      <sz val="10"/>
      <color theme="1"/>
      <name val="Arial"/>
      <family val="2"/>
    </font>
    <font>
      <sz val="11"/>
      <color rgb="FF0000FF"/>
      <name val="Calibri"/>
      <family val="2"/>
      <charset val="1"/>
    </font>
    <font>
      <b/>
      <sz val="10"/>
      <color rgb="FF0D7377"/>
      <name val="Calibri"/>
      <family val="2"/>
    </font>
    <font>
      <b/>
      <i/>
      <sz val="9"/>
      <color rgb="FF999999"/>
      <name val="Arial"/>
      <family val="2"/>
    </font>
    <font>
      <b/>
      <i/>
      <sz val="9"/>
      <color rgb="FF0000FF"/>
      <name val="Arial"/>
      <family val="2"/>
    </font>
    <font>
      <b/>
      <sz val="11"/>
      <color rgb="FFFFFFFF"/>
      <name val="Cambria"/>
      <family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0"/>
      <color rgb="FF999999"/>
      <name val="Arial"/>
      <family val="2"/>
    </font>
    <font>
      <b/>
      <sz val="10"/>
      <color rgb="FF1A3C40"/>
      <name val="Calibri"/>
      <family val="2"/>
      <charset val="1"/>
    </font>
    <font>
      <b/>
      <sz val="10"/>
      <color theme="1"/>
      <name val="Arial"/>
      <family val="2"/>
    </font>
    <font>
      <b/>
      <sz val="11"/>
      <color rgb="FF0000FF"/>
      <name val="Calibri"/>
      <family val="2"/>
      <charset val="1"/>
    </font>
    <font>
      <sz val="11"/>
      <color rgb="FF000000"/>
      <name val="Calibri"/>
      <family val="2"/>
    </font>
    <font>
      <sz val="10"/>
      <color theme="1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0"/>
      <color rgb="FFFFFFFF"/>
      <name val="Cambria"/>
      <family val="1"/>
    </font>
    <font>
      <b/>
      <sz val="10"/>
      <color rgb="FF008000"/>
      <name val="Calibri"/>
      <family val="2"/>
      <charset val="1"/>
    </font>
    <font>
      <b/>
      <sz val="10"/>
      <color rgb="FF0D47A1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1"/>
      <color rgb="FF0D47A1"/>
      <name val="Calibri"/>
      <family val="2"/>
      <charset val="1"/>
    </font>
    <font>
      <sz val="10"/>
      <color rgb="FF0000FF"/>
      <name val="Calibri"/>
      <family val="2"/>
    </font>
    <font>
      <b/>
      <sz val="10"/>
      <color rgb="FF008000"/>
      <name val="Arial"/>
      <family val="2"/>
    </font>
    <font>
      <i/>
      <sz val="8"/>
      <color rgb="FF999999"/>
      <name val="Arial"/>
      <family val="2"/>
    </font>
    <font>
      <b/>
      <sz val="10"/>
      <color rgb="FF0D47A1"/>
      <name val="Calibri"/>
      <family val="2"/>
    </font>
    <font>
      <b/>
      <sz val="9"/>
      <color rgb="FF1A3C40"/>
      <name val="Arial"/>
      <family val="2"/>
    </font>
    <font>
      <b/>
      <sz val="9"/>
      <color rgb="FF555555"/>
      <name val="Arial"/>
      <family val="2"/>
    </font>
    <font>
      <b/>
      <sz val="9"/>
      <color rgb="FFB71C1C"/>
      <name val="Arial"/>
      <family val="2"/>
    </font>
    <font>
      <i/>
      <sz val="10"/>
      <color rgb="FF555555"/>
      <name val="Arial"/>
      <family val="2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0"/>
      <color rgb="FF555555"/>
      <name val="Arial"/>
      <family val="2"/>
    </font>
    <font>
      <i/>
      <strike/>
      <sz val="9"/>
      <color rgb="FF999999"/>
      <name val="Arial"/>
      <family val="2"/>
    </font>
    <font>
      <strike/>
      <sz val="11"/>
      <color rgb="FF999999"/>
      <name val="Calibri"/>
      <family val="2"/>
      <charset val="1"/>
    </font>
    <font>
      <strike/>
      <sz val="10"/>
      <color rgb="FF999999"/>
      <name val="Arial"/>
      <family val="2"/>
    </font>
    <font>
      <strike/>
      <sz val="11"/>
      <color rgb="FF999999"/>
      <name val="Cambria"/>
      <family val="1"/>
    </font>
    <font>
      <b/>
      <sz val="14"/>
      <color rgb="FF1A3C4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9"/>
      <color rgb="FF999999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FF0000"/>
      <name val="Arial"/>
      <family val="2"/>
    </font>
    <font>
      <sz val="9"/>
      <color rgb="FF999999"/>
      <name val="Calibri"/>
      <family val="2"/>
      <charset val="1"/>
    </font>
    <font>
      <sz val="9"/>
      <color rgb="FF008000"/>
      <name val="Calibri"/>
      <family val="2"/>
      <charset val="1"/>
    </font>
    <font>
      <b/>
      <sz val="10"/>
      <color rgb="FF006400"/>
      <name val="Arial"/>
      <family val="2"/>
    </font>
    <font>
      <sz val="11"/>
      <color rgb="FFFF0000"/>
      <name val="Calibri"/>
      <family val="2"/>
      <charset val="1"/>
    </font>
  </fonts>
  <fills count="52">
    <fill>
      <patternFill patternType="none"/>
    </fill>
    <fill>
      <patternFill patternType="gray125"/>
    </fill>
    <fill>
      <patternFill patternType="solid">
        <fgColor rgb="FFFFFFFF"/>
        <bgColor rgb="FFFFFDE7"/>
      </patternFill>
    </fill>
    <fill>
      <patternFill patternType="solid">
        <fgColor rgb="FF1F4E79"/>
        <bgColor rgb="FF2F5496"/>
      </patternFill>
    </fill>
    <fill>
      <patternFill patternType="solid">
        <fgColor rgb="FFFFF2CC"/>
        <bgColor rgb="FFFFF3E0"/>
      </patternFill>
    </fill>
    <fill>
      <patternFill patternType="solid">
        <fgColor rgb="FFD6E4F0"/>
        <bgColor rgb="FFEDE7F6"/>
      </patternFill>
    </fill>
    <fill>
      <patternFill patternType="solid">
        <fgColor rgb="FF2F5496"/>
        <bgColor rgb="FF1F4E79"/>
      </patternFill>
    </fill>
    <fill>
      <patternFill patternType="solid">
        <fgColor rgb="FFFFFF00"/>
        <bgColor rgb="FFFFFFCC"/>
      </patternFill>
    </fill>
    <fill>
      <patternFill patternType="solid">
        <fgColor rgb="FF1A3C40"/>
        <bgColor rgb="FF1F4E79"/>
      </patternFill>
    </fill>
    <fill>
      <patternFill patternType="solid">
        <fgColor rgb="FFE8F6F3"/>
        <bgColor rgb="FFE8F5E9"/>
      </patternFill>
    </fill>
    <fill>
      <patternFill patternType="solid">
        <fgColor rgb="FFFFFFCC"/>
        <bgColor rgb="FFFFF8E1"/>
      </patternFill>
    </fill>
    <fill>
      <patternFill patternType="solid">
        <fgColor rgb="FFECEFF1"/>
        <bgColor rgb="FFE8F0FE"/>
      </patternFill>
    </fill>
    <fill>
      <patternFill patternType="solid">
        <fgColor rgb="FFE8F5E9"/>
        <bgColor rgb="FFE8F6F3"/>
      </patternFill>
    </fill>
    <fill>
      <patternFill patternType="solid">
        <fgColor rgb="FFE3F2FD"/>
        <bgColor rgb="FFE8F0FE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FFEBEE"/>
        <bgColor rgb="FFFCE4EC"/>
      </patternFill>
    </fill>
    <fill>
      <patternFill patternType="solid">
        <fgColor rgb="FFFCE4EC"/>
        <bgColor rgb="FFFFEBEE"/>
      </patternFill>
    </fill>
    <fill>
      <patternFill patternType="solid">
        <fgColor rgb="FFC8E6C9"/>
        <bgColor rgb="FFD6E4F0"/>
      </patternFill>
    </fill>
    <fill>
      <patternFill patternType="solid">
        <fgColor rgb="FFFFCDD2"/>
        <bgColor rgb="FFFCE4EC"/>
      </patternFill>
    </fill>
    <fill>
      <patternFill patternType="solid">
        <fgColor rgb="FFFFFDE7"/>
        <bgColor rgb="FFFFF8E1"/>
      </patternFill>
    </fill>
    <fill>
      <patternFill patternType="solid">
        <fgColor rgb="FF4472C4"/>
        <bgColor rgb="FF2F5496"/>
      </patternFill>
    </fill>
    <fill>
      <patternFill patternType="solid">
        <fgColor rgb="FFFFF8E1"/>
        <bgColor rgb="FFFFF3E0"/>
      </patternFill>
    </fill>
    <fill>
      <patternFill patternType="solid">
        <fgColor rgb="FFE65100"/>
        <bgColor rgb="FFFF6600"/>
      </patternFill>
    </fill>
    <fill>
      <patternFill patternType="solid">
        <fgColor rgb="FFE8F0FE"/>
        <bgColor rgb="FFE3F2FD"/>
      </patternFill>
    </fill>
    <fill>
      <patternFill patternType="solid">
        <fgColor rgb="FFEDE7F6"/>
        <bgColor rgb="FFF3E5F5"/>
      </patternFill>
    </fill>
    <fill>
      <patternFill patternType="solid">
        <fgColor rgb="FF1A3C40"/>
      </patternFill>
    </fill>
    <fill>
      <patternFill patternType="solid">
        <fgColor rgb="FFC8E6C9"/>
      </patternFill>
    </fill>
    <fill>
      <patternFill patternType="solid">
        <fgColor rgb="FFE8EAF6"/>
      </patternFill>
    </fill>
    <fill>
      <patternFill patternType="solid">
        <fgColor rgb="FFFFFFCC"/>
      </patternFill>
    </fill>
    <fill>
      <patternFill patternType="solid">
        <fgColor rgb="FFB2DFDB"/>
      </patternFill>
    </fill>
    <fill>
      <patternFill patternType="solid">
        <fgColor rgb="FFFFECB3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8F6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BEE"/>
      </patternFill>
    </fill>
    <fill>
      <patternFill patternType="solid">
        <fgColor rgb="FFFFFDE7"/>
        <bgColor indexed="64"/>
      </patternFill>
    </fill>
    <fill>
      <patternFill patternType="solid">
        <fgColor rgb="FF1A3C40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D737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08080"/>
      </left>
      <right style="thin">
        <color rgb="FF808080"/>
      </right>
      <top style="medium">
        <color rgb="FF1A3C40"/>
      </top>
      <bottom style="medium">
        <color rgb="FF1A3C40"/>
      </bottom>
      <diagonal/>
    </border>
    <border>
      <left style="medium">
        <color rgb="FF1A3C40"/>
      </left>
      <right style="medium">
        <color rgb="FF1A3C40"/>
      </right>
      <top style="medium">
        <color rgb="FF1A3C40"/>
      </top>
      <bottom style="medium">
        <color rgb="FF1A3C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D7377"/>
      </top>
      <bottom style="double">
        <color rgb="FF0D7377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medium">
        <color rgb="FF0D7377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0D7377"/>
      </top>
      <bottom style="double">
        <color rgb="FF0D737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D7377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/>
      <right/>
      <top/>
      <bottom style="medium">
        <color rgb="FF1A3C40"/>
      </bottom>
      <diagonal/>
    </border>
  </borders>
  <cellStyleXfs count="3">
    <xf numFmtId="0" fontId="0" fillId="0" borderId="10"/>
    <xf numFmtId="43" fontId="29" fillId="0" borderId="10"/>
    <xf numFmtId="9" fontId="51" fillId="0" borderId="10"/>
  </cellStyleXfs>
  <cellXfs count="684">
    <xf numFmtId="0" fontId="0" fillId="0" borderId="0" xfId="0" applyBorder="1"/>
    <xf numFmtId="0" fontId="4" fillId="0" borderId="1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3" fontId="6" fillId="4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11" fillId="6" borderId="3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center" vertical="center"/>
    </xf>
    <xf numFmtId="0" fontId="3" fillId="0" borderId="0" xfId="0" applyFont="1" applyBorder="1"/>
    <xf numFmtId="0" fontId="0" fillId="6" borderId="2" xfId="0" applyFill="1" applyBorder="1"/>
    <xf numFmtId="0" fontId="13" fillId="0" borderId="0" xfId="0" applyFont="1" applyBorder="1"/>
    <xf numFmtId="0" fontId="15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3" fontId="16" fillId="10" borderId="2" xfId="0" applyNumberFormat="1" applyFont="1" applyFill="1" applyBorder="1" applyAlignment="1">
      <alignment horizontal="left" vertical="center"/>
    </xf>
    <xf numFmtId="3" fontId="17" fillId="10" borderId="2" xfId="0" applyNumberFormat="1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3" fontId="7" fillId="9" borderId="2" xfId="0" applyNumberFormat="1" applyFont="1" applyFill="1" applyBorder="1" applyAlignment="1">
      <alignment horizontal="right" vertical="center"/>
    </xf>
    <xf numFmtId="0" fontId="16" fillId="9" borderId="2" xfId="0" applyFont="1" applyFill="1" applyBorder="1" applyAlignment="1">
      <alignment horizontal="left" vertical="center"/>
    </xf>
    <xf numFmtId="0" fontId="0" fillId="8" borderId="2" xfId="0" applyFill="1" applyBorder="1"/>
    <xf numFmtId="0" fontId="16" fillId="0" borderId="2" xfId="0" applyFont="1" applyBorder="1" applyAlignment="1">
      <alignment horizontal="left" vertical="center"/>
    </xf>
    <xf numFmtId="165" fontId="17" fillId="10" borderId="2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left" vertical="center" wrapText="1"/>
    </xf>
    <xf numFmtId="9" fontId="17" fillId="10" borderId="2" xfId="0" applyNumberFormat="1" applyFont="1" applyFill="1" applyBorder="1" applyAlignment="1">
      <alignment horizontal="right" vertical="center"/>
    </xf>
    <xf numFmtId="0" fontId="16" fillId="0" borderId="0" xfId="0" applyFont="1" applyBorder="1" applyAlignment="1">
      <alignment horizontal="left" vertical="center"/>
    </xf>
    <xf numFmtId="1" fontId="17" fillId="10" borderId="2" xfId="0" applyNumberFormat="1" applyFont="1" applyFill="1" applyBorder="1" applyAlignment="1">
      <alignment horizontal="right" vertical="center"/>
    </xf>
    <xf numFmtId="0" fontId="18" fillId="0" borderId="0" xfId="0" applyFont="1" applyBorder="1"/>
    <xf numFmtId="166" fontId="7" fillId="9" borderId="2" xfId="0" applyNumberFormat="1" applyFont="1" applyFill="1" applyBorder="1" applyAlignment="1">
      <alignment horizontal="right" vertical="center"/>
    </xf>
    <xf numFmtId="0" fontId="19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4" fontId="17" fillId="10" borderId="2" xfId="0" applyNumberFormat="1" applyFont="1" applyFill="1" applyBorder="1" applyAlignment="1">
      <alignment horizontal="right" vertical="center"/>
    </xf>
    <xf numFmtId="0" fontId="18" fillId="11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3" fontId="9" fillId="12" borderId="2" xfId="0" applyNumberFormat="1" applyFont="1" applyFill="1" applyBorder="1" applyAlignment="1">
      <alignment horizontal="right" vertical="center"/>
    </xf>
    <xf numFmtId="164" fontId="9" fillId="12" borderId="2" xfId="0" applyNumberFormat="1" applyFont="1" applyFill="1" applyBorder="1" applyAlignment="1">
      <alignment horizontal="right" vertical="center"/>
    </xf>
    <xf numFmtId="0" fontId="18" fillId="12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/>
    </xf>
    <xf numFmtId="3" fontId="9" fillId="13" borderId="2" xfId="0" applyNumberFormat="1" applyFont="1" applyFill="1" applyBorder="1" applyAlignment="1">
      <alignment horizontal="right" vertical="center"/>
    </xf>
    <xf numFmtId="164" fontId="9" fillId="13" borderId="2" xfId="0" applyNumberFormat="1" applyFont="1" applyFill="1" applyBorder="1" applyAlignment="1">
      <alignment horizontal="right" vertical="center"/>
    </xf>
    <xf numFmtId="0" fontId="9" fillId="14" borderId="2" xfId="0" applyFont="1" applyFill="1" applyBorder="1" applyAlignment="1">
      <alignment horizontal="left" vertical="center"/>
    </xf>
    <xf numFmtId="3" fontId="9" fillId="14" borderId="2" xfId="0" applyNumberFormat="1" applyFont="1" applyFill="1" applyBorder="1" applyAlignment="1">
      <alignment horizontal="right" vertical="center"/>
    </xf>
    <xf numFmtId="164" fontId="9" fillId="14" borderId="2" xfId="0" applyNumberFormat="1" applyFont="1" applyFill="1" applyBorder="1" applyAlignment="1">
      <alignment horizontal="right" vertical="center"/>
    </xf>
    <xf numFmtId="0" fontId="9" fillId="11" borderId="2" xfId="0" applyFont="1" applyFill="1" applyBorder="1" applyAlignment="1">
      <alignment horizontal="left" vertical="center"/>
    </xf>
    <xf numFmtId="3" fontId="9" fillId="11" borderId="2" xfId="0" applyNumberFormat="1" applyFont="1" applyFill="1" applyBorder="1" applyAlignment="1">
      <alignment horizontal="right" vertical="center"/>
    </xf>
    <xf numFmtId="164" fontId="9" fillId="11" borderId="2" xfId="0" applyNumberFormat="1" applyFont="1" applyFill="1" applyBorder="1" applyAlignment="1">
      <alignment horizontal="right" vertical="center"/>
    </xf>
    <xf numFmtId="0" fontId="9" fillId="16" borderId="2" xfId="0" applyFont="1" applyFill="1" applyBorder="1" applyAlignment="1">
      <alignment horizontal="left" vertical="center"/>
    </xf>
    <xf numFmtId="3" fontId="9" fillId="16" borderId="2" xfId="0" applyNumberFormat="1" applyFont="1" applyFill="1" applyBorder="1" applyAlignment="1">
      <alignment horizontal="right" vertical="center"/>
    </xf>
    <xf numFmtId="164" fontId="9" fillId="16" borderId="2" xfId="0" applyNumberFormat="1" applyFont="1" applyFill="1" applyBorder="1" applyAlignment="1">
      <alignment horizontal="right" vertical="center"/>
    </xf>
    <xf numFmtId="0" fontId="18" fillId="14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8" fillId="15" borderId="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164" fontId="21" fillId="0" borderId="2" xfId="0" applyNumberFormat="1" applyFont="1" applyBorder="1" applyAlignment="1">
      <alignment horizontal="right" vertical="center"/>
    </xf>
    <xf numFmtId="2" fontId="7" fillId="9" borderId="2" xfId="0" applyNumberFormat="1" applyFont="1" applyFill="1" applyBorder="1" applyAlignment="1">
      <alignment horizontal="right" vertical="center"/>
    </xf>
    <xf numFmtId="167" fontId="17" fillId="18" borderId="2" xfId="0" applyNumberFormat="1" applyFont="1" applyFill="1" applyBorder="1" applyAlignment="1">
      <alignment horizontal="right" vertical="center"/>
    </xf>
    <xf numFmtId="167" fontId="17" fillId="19" borderId="2" xfId="0" applyNumberFormat="1" applyFont="1" applyFill="1" applyBorder="1" applyAlignment="1">
      <alignment horizontal="right" vertical="center"/>
    </xf>
    <xf numFmtId="167" fontId="17" fillId="10" borderId="2" xfId="0" applyNumberFormat="1" applyFont="1" applyFill="1" applyBorder="1" applyAlignment="1">
      <alignment horizontal="right" vertical="center"/>
    </xf>
    <xf numFmtId="167" fontId="9" fillId="13" borderId="2" xfId="0" applyNumberFormat="1" applyFont="1" applyFill="1" applyBorder="1" applyAlignment="1">
      <alignment horizontal="right" vertical="center"/>
    </xf>
    <xf numFmtId="167" fontId="9" fillId="14" borderId="2" xfId="0" applyNumberFormat="1" applyFont="1" applyFill="1" applyBorder="1" applyAlignment="1">
      <alignment horizontal="right" vertical="center"/>
    </xf>
    <xf numFmtId="2" fontId="7" fillId="9" borderId="2" xfId="0" applyNumberFormat="1" applyFont="1" applyFill="1" applyBorder="1" applyAlignment="1">
      <alignment horizontal="center" vertical="center"/>
    </xf>
    <xf numFmtId="167" fontId="10" fillId="12" borderId="2" xfId="0" applyNumberFormat="1" applyFont="1" applyFill="1" applyBorder="1" applyAlignment="1">
      <alignment horizontal="right" vertical="center"/>
    </xf>
    <xf numFmtId="167" fontId="10" fillId="14" borderId="2" xfId="0" applyNumberFormat="1" applyFont="1" applyFill="1" applyBorder="1" applyAlignment="1">
      <alignment horizontal="right" vertical="center"/>
    </xf>
    <xf numFmtId="167" fontId="7" fillId="9" borderId="2" xfId="0" applyNumberFormat="1" applyFont="1" applyFill="1" applyBorder="1" applyAlignment="1">
      <alignment horizontal="right" vertical="center"/>
    </xf>
    <xf numFmtId="164" fontId="17" fillId="20" borderId="2" xfId="0" applyNumberFormat="1" applyFont="1" applyFill="1" applyBorder="1" applyAlignment="1">
      <alignment horizontal="right" vertical="center"/>
    </xf>
    <xf numFmtId="164" fontId="10" fillId="13" borderId="2" xfId="0" applyNumberFormat="1" applyFont="1" applyFill="1" applyBorder="1" applyAlignment="1">
      <alignment horizontal="right" vertical="center"/>
    </xf>
    <xf numFmtId="0" fontId="0" fillId="9" borderId="0" xfId="0" applyFill="1" applyBorder="1"/>
    <xf numFmtId="165" fontId="17" fillId="20" borderId="2" xfId="0" applyNumberFormat="1" applyFont="1" applyFill="1" applyBorder="1" applyAlignment="1">
      <alignment horizontal="right" vertical="center"/>
    </xf>
    <xf numFmtId="0" fontId="15" fillId="9" borderId="0" xfId="0" applyFont="1" applyFill="1" applyBorder="1"/>
    <xf numFmtId="166" fontId="17" fillId="20" borderId="2" xfId="0" applyNumberFormat="1" applyFont="1" applyFill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0" fontId="0" fillId="5" borderId="2" xfId="0" applyFill="1" applyBorder="1" applyAlignment="1">
      <alignment horizontal="right" vertical="center"/>
    </xf>
    <xf numFmtId="0" fontId="23" fillId="4" borderId="2" xfId="0" applyFont="1" applyFill="1" applyBorder="1" applyAlignment="1">
      <alignment horizontal="left" vertical="center" wrapText="1"/>
    </xf>
    <xf numFmtId="164" fontId="23" fillId="4" borderId="2" xfId="0" applyNumberFormat="1" applyFont="1" applyFill="1" applyBorder="1" applyAlignment="1">
      <alignment horizontal="right" vertical="center"/>
    </xf>
    <xf numFmtId="167" fontId="21" fillId="13" borderId="2" xfId="0" applyNumberFormat="1" applyFont="1" applyFill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24" fillId="9" borderId="6" xfId="0" applyFont="1" applyFill="1" applyBorder="1" applyAlignment="1">
      <alignment horizontal="left" vertical="center" wrapText="1"/>
    </xf>
    <xf numFmtId="3" fontId="24" fillId="9" borderId="6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left" vertical="center"/>
    </xf>
    <xf numFmtId="164" fontId="20" fillId="12" borderId="2" xfId="0" applyNumberFormat="1" applyFont="1" applyFill="1" applyBorder="1" applyAlignment="1">
      <alignment horizontal="right" vertical="center"/>
    </xf>
    <xf numFmtId="0" fontId="20" fillId="13" borderId="2" xfId="0" applyFont="1" applyFill="1" applyBorder="1" applyAlignment="1">
      <alignment horizontal="left" vertical="center"/>
    </xf>
    <xf numFmtId="164" fontId="20" fillId="13" borderId="2" xfId="0" applyNumberFormat="1" applyFont="1" applyFill="1" applyBorder="1" applyAlignment="1">
      <alignment horizontal="right" vertical="center"/>
    </xf>
    <xf numFmtId="0" fontId="20" fillId="22" borderId="2" xfId="0" applyFont="1" applyFill="1" applyBorder="1" applyAlignment="1">
      <alignment horizontal="left" vertical="center"/>
    </xf>
    <xf numFmtId="164" fontId="20" fillId="22" borderId="2" xfId="0" applyNumberFormat="1" applyFont="1" applyFill="1" applyBorder="1" applyAlignment="1">
      <alignment horizontal="right" vertical="center"/>
    </xf>
    <xf numFmtId="3" fontId="22" fillId="23" borderId="2" xfId="0" applyNumberFormat="1" applyFont="1" applyFill="1" applyBorder="1" applyAlignment="1">
      <alignment horizontal="right" vertical="center"/>
    </xf>
    <xf numFmtId="0" fontId="7" fillId="13" borderId="2" xfId="0" applyFont="1" applyFill="1" applyBorder="1" applyAlignment="1">
      <alignment horizontal="left" vertical="center"/>
    </xf>
    <xf numFmtId="3" fontId="22" fillId="13" borderId="2" xfId="0" applyNumberFormat="1" applyFont="1" applyFill="1" applyBorder="1" applyAlignment="1">
      <alignment horizontal="right" vertical="center"/>
    </xf>
    <xf numFmtId="166" fontId="21" fillId="13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0" fontId="9" fillId="17" borderId="2" xfId="0" applyFont="1" applyFill="1" applyBorder="1" applyAlignment="1">
      <alignment horizontal="left" vertical="center"/>
    </xf>
    <xf numFmtId="166" fontId="10" fillId="17" borderId="2" xfId="0" applyNumberFormat="1" applyFont="1" applyFill="1" applyBorder="1" applyAlignment="1">
      <alignment horizontal="right" vertical="center"/>
    </xf>
    <xf numFmtId="166" fontId="21" fillId="0" borderId="2" xfId="0" applyNumberFormat="1" applyFont="1" applyBorder="1" applyAlignment="1">
      <alignment horizontal="right" vertical="center"/>
    </xf>
    <xf numFmtId="164" fontId="24" fillId="9" borderId="6" xfId="0" applyNumberFormat="1" applyFont="1" applyFill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0" fontId="21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164" fontId="26" fillId="0" borderId="2" xfId="0" applyNumberFormat="1" applyFont="1" applyBorder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6" fontId="24" fillId="9" borderId="6" xfId="0" applyNumberFormat="1" applyFont="1" applyFill="1" applyBorder="1" applyAlignment="1">
      <alignment horizontal="right" vertical="center"/>
    </xf>
    <xf numFmtId="166" fontId="5" fillId="5" borderId="2" xfId="0" applyNumberFormat="1" applyFont="1" applyFill="1" applyBorder="1" applyAlignment="1">
      <alignment horizontal="right" vertical="center"/>
    </xf>
    <xf numFmtId="2" fontId="21" fillId="13" borderId="2" xfId="0" applyNumberFormat="1" applyFont="1" applyFill="1" applyBorder="1" applyAlignment="1">
      <alignment horizontal="right" vertical="center"/>
    </xf>
    <xf numFmtId="2" fontId="10" fillId="9" borderId="2" xfId="0" applyNumberFormat="1" applyFont="1" applyFill="1" applyBorder="1" applyAlignment="1">
      <alignment horizontal="right" vertical="center"/>
    </xf>
    <xf numFmtId="166" fontId="24" fillId="9" borderId="2" xfId="0" applyNumberFormat="1" applyFont="1" applyFill="1" applyBorder="1" applyAlignment="1">
      <alignment horizontal="right" vertical="center"/>
    </xf>
    <xf numFmtId="166" fontId="7" fillId="5" borderId="2" xfId="0" applyNumberFormat="1" applyFont="1" applyFill="1" applyBorder="1" applyAlignment="1">
      <alignment horizontal="right" vertical="center"/>
    </xf>
    <xf numFmtId="166" fontId="23" fillId="4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24" fillId="9" borderId="6" xfId="0" applyFont="1" applyFill="1" applyBorder="1" applyAlignment="1">
      <alignment horizontal="right" vertical="center"/>
    </xf>
    <xf numFmtId="166" fontId="7" fillId="4" borderId="2" xfId="0" applyNumberFormat="1" applyFont="1" applyFill="1" applyBorder="1" applyAlignment="1">
      <alignment horizontal="right" vertical="center"/>
    </xf>
    <xf numFmtId="3" fontId="10" fillId="13" borderId="2" xfId="0" applyNumberFormat="1" applyFont="1" applyFill="1" applyBorder="1" applyAlignment="1">
      <alignment horizontal="right" vertical="center"/>
    </xf>
    <xf numFmtId="3" fontId="10" fillId="17" borderId="2" xfId="0" applyNumberFormat="1" applyFont="1" applyFill="1" applyBorder="1" applyAlignment="1">
      <alignment horizontal="right" vertical="center"/>
    </xf>
    <xf numFmtId="3" fontId="21" fillId="0" borderId="2" xfId="0" applyNumberFormat="1" applyFont="1" applyBorder="1" applyAlignment="1">
      <alignment horizontal="right" vertical="center"/>
    </xf>
    <xf numFmtId="164" fontId="14" fillId="13" borderId="2" xfId="0" applyNumberFormat="1" applyFont="1" applyFill="1" applyBorder="1" applyAlignment="1">
      <alignment horizontal="right" vertical="center"/>
    </xf>
    <xf numFmtId="0" fontId="9" fillId="24" borderId="2" xfId="0" applyFont="1" applyFill="1" applyBorder="1" applyAlignment="1">
      <alignment horizontal="left" vertical="center"/>
    </xf>
    <xf numFmtId="3" fontId="9" fillId="24" borderId="2" xfId="0" applyNumberFormat="1" applyFont="1" applyFill="1" applyBorder="1" applyAlignment="1">
      <alignment horizontal="right" vertical="center"/>
    </xf>
    <xf numFmtId="166" fontId="10" fillId="14" borderId="2" xfId="0" applyNumberFormat="1" applyFont="1" applyFill="1" applyBorder="1" applyAlignment="1">
      <alignment horizontal="right" vertical="center"/>
    </xf>
    <xf numFmtId="0" fontId="7" fillId="14" borderId="2" xfId="0" applyFont="1" applyFill="1" applyBorder="1" applyAlignment="1">
      <alignment horizontal="left" vertical="center"/>
    </xf>
    <xf numFmtId="168" fontId="7" fillId="9" borderId="2" xfId="0" applyNumberFormat="1" applyFont="1" applyFill="1" applyBorder="1" applyAlignment="1">
      <alignment horizontal="right" vertical="center"/>
    </xf>
    <xf numFmtId="0" fontId="9" fillId="25" borderId="2" xfId="0" applyFont="1" applyFill="1" applyBorder="1" applyAlignment="1">
      <alignment horizontal="left" vertical="center"/>
    </xf>
    <xf numFmtId="3" fontId="9" fillId="25" borderId="2" xfId="0" applyNumberFormat="1" applyFont="1" applyFill="1" applyBorder="1" applyAlignment="1">
      <alignment horizontal="right" vertical="center"/>
    </xf>
    <xf numFmtId="0" fontId="25" fillId="25" borderId="2" xfId="0" applyFont="1" applyFill="1" applyBorder="1" applyAlignment="1">
      <alignment horizontal="left" vertical="center"/>
    </xf>
    <xf numFmtId="168" fontId="25" fillId="25" borderId="2" xfId="0" applyNumberFormat="1" applyFont="1" applyFill="1" applyBorder="1" applyAlignment="1">
      <alignment horizontal="right" vertical="center"/>
    </xf>
    <xf numFmtId="3" fontId="15" fillId="9" borderId="2" xfId="0" applyNumberFormat="1" applyFont="1" applyFill="1" applyBorder="1" applyAlignment="1">
      <alignment horizontal="center" vertical="center"/>
    </xf>
    <xf numFmtId="3" fontId="10" fillId="12" borderId="2" xfId="0" applyNumberFormat="1" applyFont="1" applyFill="1" applyBorder="1" applyAlignment="1">
      <alignment horizontal="right" vertical="center"/>
    </xf>
    <xf numFmtId="3" fontId="10" fillId="14" borderId="2" xfId="0" applyNumberFormat="1" applyFont="1" applyFill="1" applyBorder="1" applyAlignment="1">
      <alignment horizontal="right" vertical="center"/>
    </xf>
    <xf numFmtId="166" fontId="10" fillId="13" borderId="2" xfId="0" applyNumberFormat="1" applyFont="1" applyFill="1" applyBorder="1" applyAlignment="1">
      <alignment horizontal="right" vertical="center"/>
    </xf>
    <xf numFmtId="166" fontId="16" fillId="0" borderId="2" xfId="0" applyNumberFormat="1" applyFont="1" applyBorder="1" applyAlignment="1">
      <alignment horizontal="right" vertical="center"/>
    </xf>
    <xf numFmtId="0" fontId="27" fillId="26" borderId="9" xfId="0" applyFont="1" applyFill="1" applyBorder="1" applyAlignment="1">
      <alignment horizontal="left" vertical="center"/>
    </xf>
    <xf numFmtId="0" fontId="0" fillId="26" borderId="9" xfId="0" applyFill="1" applyBorder="1"/>
    <xf numFmtId="0" fontId="2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right" vertical="center"/>
    </xf>
    <xf numFmtId="0" fontId="30" fillId="0" borderId="9" xfId="0" applyFont="1" applyBorder="1" applyAlignment="1">
      <alignment horizontal="left" vertical="center"/>
    </xf>
    <xf numFmtId="0" fontId="31" fillId="27" borderId="9" xfId="0" applyFont="1" applyFill="1" applyBorder="1" applyAlignment="1">
      <alignment horizontal="left" vertical="center"/>
    </xf>
    <xf numFmtId="0" fontId="31" fillId="27" borderId="9" xfId="0" applyFont="1" applyFill="1" applyBorder="1" applyAlignment="1">
      <alignment horizontal="right" vertical="center"/>
    </xf>
    <xf numFmtId="0" fontId="30" fillId="27" borderId="9" xfId="0" applyFont="1" applyFill="1" applyBorder="1" applyAlignment="1">
      <alignment horizontal="left" vertical="center"/>
    </xf>
    <xf numFmtId="0" fontId="4" fillId="26" borderId="9" xfId="0" applyFont="1" applyFill="1" applyBorder="1" applyAlignment="1">
      <alignment horizontal="left" vertical="center" wrapText="1"/>
    </xf>
    <xf numFmtId="0" fontId="28" fillId="28" borderId="9" xfId="0" applyFont="1" applyFill="1" applyBorder="1" applyAlignment="1">
      <alignment horizontal="left" vertical="center"/>
    </xf>
    <xf numFmtId="164" fontId="32" fillId="29" borderId="9" xfId="0" applyNumberFormat="1" applyFont="1" applyFill="1" applyBorder="1" applyAlignment="1">
      <alignment horizontal="right" vertical="center"/>
    </xf>
    <xf numFmtId="9" fontId="32" fillId="29" borderId="9" xfId="0" applyNumberFormat="1" applyFont="1" applyFill="1" applyBorder="1" applyAlignment="1">
      <alignment horizontal="right" vertical="center"/>
    </xf>
    <xf numFmtId="0" fontId="28" fillId="28" borderId="9" xfId="0" applyFont="1" applyFill="1" applyBorder="1" applyAlignment="1">
      <alignment horizontal="center" vertical="center"/>
    </xf>
    <xf numFmtId="164" fontId="31" fillId="30" borderId="9" xfId="0" applyNumberFormat="1" applyFont="1" applyFill="1" applyBorder="1" applyAlignment="1">
      <alignment horizontal="right" vertical="center"/>
    </xf>
    <xf numFmtId="3" fontId="29" fillId="4" borderId="9" xfId="0" applyNumberFormat="1" applyFont="1" applyFill="1" applyBorder="1" applyAlignment="1">
      <alignment horizontal="left" vertical="center"/>
    </xf>
    <xf numFmtId="164" fontId="29" fillId="4" borderId="9" xfId="0" applyNumberFormat="1" applyFont="1" applyFill="1" applyBorder="1" applyAlignment="1">
      <alignment horizontal="right" vertical="center"/>
    </xf>
    <xf numFmtId="3" fontId="29" fillId="4" borderId="9" xfId="0" applyNumberFormat="1" applyFont="1" applyFill="1" applyBorder="1" applyAlignment="1">
      <alignment horizontal="right" vertical="center"/>
    </xf>
    <xf numFmtId="164" fontId="29" fillId="4" borderId="9" xfId="0" applyNumberFormat="1" applyFont="1" applyFill="1" applyBorder="1" applyAlignment="1">
      <alignment horizontal="left" vertical="center"/>
    </xf>
    <xf numFmtId="165" fontId="32" fillId="29" borderId="9" xfId="0" applyNumberFormat="1" applyFont="1" applyFill="1" applyBorder="1" applyAlignment="1">
      <alignment horizontal="right" vertical="center"/>
    </xf>
    <xf numFmtId="0" fontId="0" fillId="27" borderId="9" xfId="0" applyFill="1" applyBorder="1"/>
    <xf numFmtId="0" fontId="33" fillId="27" borderId="9" xfId="0" applyFont="1" applyFill="1" applyBorder="1" applyAlignment="1">
      <alignment horizontal="right" vertical="center"/>
    </xf>
    <xf numFmtId="0" fontId="27" fillId="26" borderId="9" xfId="0" applyFont="1" applyFill="1" applyBorder="1" applyAlignment="1">
      <alignment horizontal="center" vertical="center"/>
    </xf>
    <xf numFmtId="164" fontId="31" fillId="30" borderId="9" xfId="0" applyNumberFormat="1" applyFont="1" applyFill="1" applyBorder="1" applyAlignment="1">
      <alignment horizontal="center" vertical="center"/>
    </xf>
    <xf numFmtId="9" fontId="29" fillId="28" borderId="9" xfId="0" applyNumberFormat="1" applyFont="1" applyFill="1" applyBorder="1" applyAlignment="1">
      <alignment horizontal="center" vertical="center"/>
    </xf>
    <xf numFmtId="9" fontId="28" fillId="30" borderId="9" xfId="0" applyNumberFormat="1" applyFont="1" applyFill="1" applyBorder="1" applyAlignment="1">
      <alignment horizontal="center" vertical="center"/>
    </xf>
    <xf numFmtId="9" fontId="31" fillId="30" borderId="9" xfId="0" applyNumberFormat="1" applyFont="1" applyFill="1" applyBorder="1" applyAlignment="1">
      <alignment horizontal="center" vertical="center"/>
    </xf>
    <xf numFmtId="164" fontId="29" fillId="30" borderId="9" xfId="0" applyNumberFormat="1" applyFont="1" applyFill="1" applyBorder="1" applyAlignment="1">
      <alignment horizontal="right" vertical="center"/>
    </xf>
    <xf numFmtId="164" fontId="28" fillId="28" borderId="9" xfId="0" applyNumberFormat="1" applyFont="1" applyFill="1" applyBorder="1" applyAlignment="1">
      <alignment horizontal="center" vertical="center"/>
    </xf>
    <xf numFmtId="3" fontId="28" fillId="28" borderId="9" xfId="0" applyNumberFormat="1" applyFont="1" applyFill="1" applyBorder="1" applyAlignment="1">
      <alignment horizontal="center" vertical="center"/>
    </xf>
    <xf numFmtId="168" fontId="28" fillId="28" borderId="9" xfId="0" applyNumberFormat="1" applyFont="1" applyFill="1" applyBorder="1" applyAlignment="1">
      <alignment horizontal="center" vertical="center"/>
    </xf>
    <xf numFmtId="3" fontId="29" fillId="30" borderId="9" xfId="0" applyNumberFormat="1" applyFont="1" applyFill="1" applyBorder="1" applyAlignment="1">
      <alignment horizontal="right" vertical="center"/>
    </xf>
    <xf numFmtId="2" fontId="34" fillId="31" borderId="9" xfId="0" applyNumberFormat="1" applyFont="1" applyFill="1" applyBorder="1" applyAlignment="1">
      <alignment horizontal="right" vertical="center"/>
    </xf>
    <xf numFmtId="0" fontId="30" fillId="0" borderId="9" xfId="0" applyFont="1" applyBorder="1" applyAlignment="1">
      <alignment horizontal="left" vertical="center" wrapText="1"/>
    </xf>
    <xf numFmtId="169" fontId="29" fillId="30" borderId="9" xfId="0" applyNumberFormat="1" applyFont="1" applyFill="1" applyBorder="1" applyAlignment="1">
      <alignment horizontal="right" vertical="center"/>
    </xf>
    <xf numFmtId="3" fontId="32" fillId="29" borderId="9" xfId="0" applyNumberFormat="1" applyFont="1" applyFill="1" applyBorder="1" applyAlignment="1">
      <alignment horizontal="right" vertical="center"/>
    </xf>
    <xf numFmtId="0" fontId="35" fillId="0" borderId="9" xfId="0" applyFont="1" applyBorder="1" applyAlignment="1">
      <alignment horizontal="left" vertical="center" indent="2"/>
    </xf>
    <xf numFmtId="0" fontId="36" fillId="28" borderId="9" xfId="0" applyFont="1" applyFill="1" applyBorder="1" applyAlignment="1">
      <alignment horizontal="left" vertical="center"/>
    </xf>
    <xf numFmtId="3" fontId="36" fillId="28" borderId="9" xfId="0" applyNumberFormat="1" applyFont="1" applyFill="1" applyBorder="1" applyAlignment="1">
      <alignment horizontal="right" vertical="center"/>
    </xf>
    <xf numFmtId="3" fontId="27" fillId="26" borderId="9" xfId="0" applyNumberFormat="1" applyFont="1" applyFill="1" applyBorder="1" applyAlignment="1">
      <alignment horizontal="right" vertical="center"/>
    </xf>
    <xf numFmtId="0" fontId="37" fillId="26" borderId="9" xfId="0" applyFont="1" applyFill="1" applyBorder="1" applyAlignment="1">
      <alignment horizontal="left" vertical="center" wrapText="1"/>
    </xf>
    <xf numFmtId="0" fontId="37" fillId="26" borderId="9" xfId="0" applyFont="1" applyFill="1" applyBorder="1"/>
    <xf numFmtId="0" fontId="38" fillId="0" borderId="2" xfId="0" applyFont="1" applyBorder="1" applyAlignment="1">
      <alignment horizontal="left" vertical="center" wrapText="1"/>
    </xf>
    <xf numFmtId="0" fontId="37" fillId="0" borderId="10" xfId="0" applyFont="1" applyAlignment="1">
      <alignment horizontal="right" vertical="center"/>
    </xf>
    <xf numFmtId="0" fontId="37" fillId="0" borderId="10" xfId="0" applyFont="1"/>
    <xf numFmtId="0" fontId="27" fillId="26" borderId="9" xfId="0" applyFont="1" applyFill="1" applyBorder="1" applyAlignment="1">
      <alignment horizontal="right" vertical="center"/>
    </xf>
    <xf numFmtId="0" fontId="37" fillId="0" borderId="10" xfId="0" applyFont="1" applyAlignment="1">
      <alignment horizontal="left" vertical="center"/>
    </xf>
    <xf numFmtId="0" fontId="41" fillId="8" borderId="2" xfId="0" applyFont="1" applyFill="1" applyBorder="1"/>
    <xf numFmtId="0" fontId="27" fillId="8" borderId="2" xfId="0" applyFont="1" applyFill="1" applyBorder="1"/>
    <xf numFmtId="0" fontId="39" fillId="26" borderId="9" xfId="0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center" wrapText="1"/>
    </xf>
    <xf numFmtId="0" fontId="41" fillId="0" borderId="0" xfId="0" applyFont="1" applyBorder="1"/>
    <xf numFmtId="0" fontId="41" fillId="0" borderId="0" xfId="0" applyFont="1" applyBorder="1" applyAlignment="1">
      <alignment horizontal="right" vertical="center"/>
    </xf>
    <xf numFmtId="3" fontId="41" fillId="0" borderId="0" xfId="0" applyNumberFormat="1" applyFont="1" applyBorder="1" applyAlignment="1">
      <alignment horizontal="right" vertical="center"/>
    </xf>
    <xf numFmtId="0" fontId="41" fillId="0" borderId="2" xfId="0" applyFont="1" applyBorder="1" applyAlignment="1">
      <alignment horizontal="left" vertical="center"/>
    </xf>
    <xf numFmtId="3" fontId="41" fillId="0" borderId="2" xfId="0" applyNumberFormat="1" applyFont="1" applyBorder="1" applyAlignment="1">
      <alignment horizontal="right" vertical="center"/>
    </xf>
    <xf numFmtId="164" fontId="41" fillId="0" borderId="2" xfId="0" applyNumberFormat="1" applyFont="1" applyBorder="1" applyAlignment="1">
      <alignment horizontal="right" vertical="center"/>
    </xf>
    <xf numFmtId="0" fontId="27" fillId="8" borderId="2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center" vertical="center"/>
    </xf>
    <xf numFmtId="166" fontId="41" fillId="0" borderId="0" xfId="0" applyNumberFormat="1" applyFont="1" applyBorder="1" applyAlignment="1">
      <alignment horizontal="right" vertical="center"/>
    </xf>
    <xf numFmtId="165" fontId="41" fillId="0" borderId="0" xfId="0" applyNumberFormat="1" applyFont="1" applyBorder="1" applyAlignment="1">
      <alignment horizontal="right" vertical="center"/>
    </xf>
    <xf numFmtId="168" fontId="41" fillId="0" borderId="0" xfId="0" applyNumberFormat="1" applyFont="1" applyBorder="1" applyAlignment="1">
      <alignment horizontal="right" vertical="center"/>
    </xf>
    <xf numFmtId="164" fontId="41" fillId="0" borderId="0" xfId="0" applyNumberFormat="1" applyFont="1" applyBorder="1" applyAlignment="1">
      <alignment horizontal="right" vertical="center"/>
    </xf>
    <xf numFmtId="9" fontId="41" fillId="0" borderId="0" xfId="0" applyNumberFormat="1" applyFont="1" applyBorder="1" applyAlignment="1">
      <alignment horizontal="right" vertical="center"/>
    </xf>
    <xf numFmtId="164" fontId="41" fillId="8" borderId="2" xfId="0" applyNumberFormat="1" applyFont="1" applyFill="1" applyBorder="1" applyAlignment="1">
      <alignment horizontal="right" vertical="center"/>
    </xf>
    <xf numFmtId="166" fontId="41" fillId="0" borderId="2" xfId="0" applyNumberFormat="1" applyFont="1" applyBorder="1" applyAlignment="1">
      <alignment horizontal="right" vertical="center"/>
    </xf>
    <xf numFmtId="168" fontId="41" fillId="8" borderId="2" xfId="0" applyNumberFormat="1" applyFont="1" applyFill="1" applyBorder="1" applyAlignment="1">
      <alignment horizontal="right" vertical="center"/>
    </xf>
    <xf numFmtId="0" fontId="41" fillId="0" borderId="7" xfId="0" applyFont="1" applyBorder="1"/>
    <xf numFmtId="0" fontId="41" fillId="8" borderId="2" xfId="0" applyFont="1" applyFill="1" applyBorder="1" applyAlignment="1">
      <alignment horizontal="center" vertical="center"/>
    </xf>
    <xf numFmtId="0" fontId="41" fillId="8" borderId="2" xfId="0" applyFont="1" applyFill="1" applyBorder="1" applyAlignment="1">
      <alignment horizontal="left" vertical="center"/>
    </xf>
    <xf numFmtId="0" fontId="42" fillId="0" borderId="2" xfId="0" applyFont="1" applyBorder="1" applyAlignment="1">
      <alignment horizontal="left" vertical="center" wrapText="1"/>
    </xf>
    <xf numFmtId="164" fontId="43" fillId="0" borderId="9" xfId="0" applyNumberFormat="1" applyFont="1" applyBorder="1" applyAlignment="1">
      <alignment horizontal="right" vertical="center"/>
    </xf>
    <xf numFmtId="0" fontId="38" fillId="3" borderId="2" xfId="0" applyFont="1" applyFill="1" applyBorder="1" applyAlignment="1">
      <alignment horizontal="left" vertical="center" wrapText="1"/>
    </xf>
    <xf numFmtId="0" fontId="38" fillId="3" borderId="2" xfId="0" applyFont="1" applyFill="1" applyBorder="1" applyAlignment="1">
      <alignment horizontal="right" vertical="center"/>
    </xf>
    <xf numFmtId="0" fontId="39" fillId="3" borderId="9" xfId="0" applyFont="1" applyFill="1" applyBorder="1" applyAlignment="1">
      <alignment horizontal="left" vertical="center"/>
    </xf>
    <xf numFmtId="0" fontId="39" fillId="3" borderId="9" xfId="0" applyFont="1" applyFill="1" applyBorder="1" applyAlignment="1">
      <alignment horizontal="right" vertical="center"/>
    </xf>
    <xf numFmtId="3" fontId="43" fillId="0" borderId="9" xfId="0" applyNumberFormat="1" applyFont="1" applyBorder="1" applyAlignment="1">
      <alignment horizontal="left" vertical="center"/>
    </xf>
    <xf numFmtId="3" fontId="43" fillId="0" borderId="9" xfId="0" applyNumberFormat="1" applyFont="1" applyBorder="1" applyAlignment="1">
      <alignment horizontal="right" vertical="center"/>
    </xf>
    <xf numFmtId="0" fontId="43" fillId="0" borderId="9" xfId="0" applyFont="1" applyBorder="1" applyAlignment="1">
      <alignment horizontal="left" vertical="center"/>
    </xf>
    <xf numFmtId="0" fontId="43" fillId="0" borderId="9" xfId="0" applyFont="1" applyBorder="1" applyAlignment="1">
      <alignment horizontal="right" vertical="center"/>
    </xf>
    <xf numFmtId="165" fontId="43" fillId="0" borderId="9" xfId="0" applyNumberFormat="1" applyFont="1" applyBorder="1" applyAlignment="1">
      <alignment horizontal="right" vertical="center"/>
    </xf>
    <xf numFmtId="9" fontId="43" fillId="0" borderId="9" xfId="0" applyNumberFormat="1" applyFont="1" applyBorder="1" applyAlignment="1">
      <alignment horizontal="right" vertical="center"/>
    </xf>
    <xf numFmtId="0" fontId="43" fillId="0" borderId="2" xfId="0" applyFont="1" applyBorder="1" applyAlignment="1">
      <alignment horizontal="left" vertical="center"/>
    </xf>
    <xf numFmtId="166" fontId="43" fillId="0" borderId="2" xfId="0" applyNumberFormat="1" applyFont="1" applyBorder="1" applyAlignment="1">
      <alignment horizontal="right" vertical="center"/>
    </xf>
    <xf numFmtId="0" fontId="44" fillId="0" borderId="9" xfId="0" applyFont="1" applyBorder="1" applyAlignment="1">
      <alignment horizontal="left" vertical="center"/>
    </xf>
    <xf numFmtId="0" fontId="44" fillId="0" borderId="9" xfId="0" applyFont="1" applyBorder="1" applyAlignment="1">
      <alignment horizontal="right" vertical="center"/>
    </xf>
    <xf numFmtId="9" fontId="43" fillId="0" borderId="9" xfId="0" applyNumberFormat="1" applyFont="1" applyBorder="1" applyAlignment="1">
      <alignment horizontal="center" vertical="center"/>
    </xf>
    <xf numFmtId="169" fontId="43" fillId="0" borderId="9" xfId="0" applyNumberFormat="1" applyFont="1" applyBorder="1" applyAlignment="1">
      <alignment horizontal="right" vertical="center"/>
    </xf>
    <xf numFmtId="0" fontId="40" fillId="6" borderId="3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46" fillId="6" borderId="2" xfId="0" applyFont="1" applyFill="1" applyBorder="1" applyAlignment="1">
      <alignment horizontal="left" vertical="center"/>
    </xf>
    <xf numFmtId="0" fontId="47" fillId="6" borderId="2" xfId="0" applyFont="1" applyFill="1" applyBorder="1" applyAlignment="1">
      <alignment horizontal="center" vertical="center"/>
    </xf>
    <xf numFmtId="0" fontId="48" fillId="6" borderId="2" xfId="0" applyFont="1" applyFill="1" applyBorder="1" applyAlignment="1">
      <alignment horizontal="left" vertical="center"/>
    </xf>
    <xf numFmtId="0" fontId="38" fillId="3" borderId="5" xfId="0" applyFont="1" applyFill="1" applyBorder="1" applyAlignment="1">
      <alignment horizontal="left" vertical="center" wrapText="1"/>
    </xf>
    <xf numFmtId="0" fontId="42" fillId="0" borderId="0" xfId="0" applyFont="1" applyBorder="1" applyAlignment="1">
      <alignment horizontal="left" vertical="center" wrapText="1"/>
    </xf>
    <xf numFmtId="3" fontId="42" fillId="0" borderId="2" xfId="0" applyNumberFormat="1" applyFont="1" applyBorder="1" applyAlignment="1">
      <alignment horizontal="right" vertical="center"/>
    </xf>
    <xf numFmtId="164" fontId="42" fillId="0" borderId="2" xfId="0" applyNumberFormat="1" applyFont="1" applyBorder="1" applyAlignment="1">
      <alignment horizontal="right" vertical="center"/>
    </xf>
    <xf numFmtId="0" fontId="42" fillId="0" borderId="2" xfId="0" applyFont="1" applyBorder="1" applyAlignment="1">
      <alignment horizontal="right" vertical="center"/>
    </xf>
    <xf numFmtId="0" fontId="27" fillId="8" borderId="2" xfId="0" applyFont="1" applyFill="1" applyBorder="1" applyAlignment="1">
      <alignment horizontal="left" vertical="center"/>
    </xf>
    <xf numFmtId="3" fontId="43" fillId="0" borderId="2" xfId="0" applyNumberFormat="1" applyFont="1" applyBorder="1" applyAlignment="1">
      <alignment horizontal="right" vertical="center"/>
    </xf>
    <xf numFmtId="0" fontId="39" fillId="3" borderId="2" xfId="0" applyFont="1" applyFill="1" applyBorder="1" applyAlignment="1">
      <alignment horizontal="left" vertical="center"/>
    </xf>
    <xf numFmtId="0" fontId="39" fillId="3" borderId="2" xfId="0" applyFont="1" applyFill="1" applyBorder="1" applyAlignment="1">
      <alignment horizontal="right" vertical="center"/>
    </xf>
    <xf numFmtId="0" fontId="44" fillId="0" borderId="2" xfId="0" applyFont="1" applyBorder="1" applyAlignment="1">
      <alignment horizontal="right" vertical="center"/>
    </xf>
    <xf numFmtId="0" fontId="44" fillId="0" borderId="2" xfId="0" applyFont="1" applyBorder="1" applyAlignment="1">
      <alignment horizontal="left" vertical="center"/>
    </xf>
    <xf numFmtId="0" fontId="44" fillId="9" borderId="2" xfId="0" applyFont="1" applyFill="1" applyBorder="1" applyAlignment="1">
      <alignment horizontal="center" vertical="center"/>
    </xf>
    <xf numFmtId="164" fontId="43" fillId="0" borderId="2" xfId="0" applyNumberFormat="1" applyFont="1" applyBorder="1" applyAlignment="1">
      <alignment horizontal="right" vertical="center"/>
    </xf>
    <xf numFmtId="3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2" fontId="43" fillId="0" borderId="2" xfId="0" applyNumberFormat="1" applyFont="1" applyBorder="1" applyAlignment="1">
      <alignment horizontal="right" vertical="center"/>
    </xf>
    <xf numFmtId="0" fontId="44" fillId="0" borderId="0" xfId="0" applyFont="1" applyBorder="1"/>
    <xf numFmtId="165" fontId="43" fillId="0" borderId="2" xfId="0" applyNumberFormat="1" applyFont="1" applyBorder="1" applyAlignment="1">
      <alignment horizontal="right" vertical="center"/>
    </xf>
    <xf numFmtId="0" fontId="49" fillId="21" borderId="3" xfId="0" applyFont="1" applyFill="1" applyBorder="1" applyAlignment="1">
      <alignment horizontal="left" vertical="center" wrapText="1"/>
    </xf>
    <xf numFmtId="0" fontId="49" fillId="21" borderId="3" xfId="0" applyFont="1" applyFill="1" applyBorder="1" applyAlignment="1">
      <alignment horizontal="center" vertical="center"/>
    </xf>
    <xf numFmtId="0" fontId="49" fillId="8" borderId="3" xfId="0" applyFont="1" applyFill="1" applyBorder="1" applyAlignment="1">
      <alignment horizontal="left" vertical="center" wrapText="1"/>
    </xf>
    <xf numFmtId="0" fontId="49" fillId="8" borderId="3" xfId="0" applyFont="1" applyFill="1" applyBorder="1" applyAlignment="1">
      <alignment horizontal="center" vertical="center"/>
    </xf>
    <xf numFmtId="3" fontId="44" fillId="0" borderId="2" xfId="0" applyNumberFormat="1" applyFont="1" applyBorder="1" applyAlignment="1">
      <alignment horizontal="right" vertical="center"/>
    </xf>
    <xf numFmtId="0" fontId="38" fillId="23" borderId="2" xfId="0" applyFont="1" applyFill="1" applyBorder="1" applyAlignment="1">
      <alignment horizontal="left" vertical="center" wrapText="1"/>
    </xf>
    <xf numFmtId="170" fontId="43" fillId="0" borderId="2" xfId="0" applyNumberFormat="1" applyFont="1" applyBorder="1" applyAlignment="1">
      <alignment horizontal="right" vertical="center"/>
    </xf>
    <xf numFmtId="166" fontId="42" fillId="0" borderId="2" xfId="0" applyNumberFormat="1" applyFont="1" applyBorder="1" applyAlignment="1">
      <alignment horizontal="right" vertical="center"/>
    </xf>
    <xf numFmtId="171" fontId="43" fillId="0" borderId="9" xfId="0" applyNumberFormat="1" applyFont="1" applyBorder="1" applyAlignment="1">
      <alignment horizontal="right" vertical="center"/>
    </xf>
    <xf numFmtId="166" fontId="38" fillId="3" borderId="2" xfId="0" applyNumberFormat="1" applyFont="1" applyFill="1" applyBorder="1" applyAlignment="1">
      <alignment horizontal="right" vertical="center"/>
    </xf>
    <xf numFmtId="168" fontId="42" fillId="0" borderId="2" xfId="0" applyNumberFormat="1" applyFont="1" applyBorder="1" applyAlignment="1">
      <alignment horizontal="right" vertical="center"/>
    </xf>
    <xf numFmtId="170" fontId="42" fillId="0" borderId="2" xfId="0" applyNumberFormat="1" applyFont="1" applyBorder="1" applyAlignment="1">
      <alignment horizontal="right" vertical="center"/>
    </xf>
    <xf numFmtId="166" fontId="50" fillId="0" borderId="2" xfId="0" applyNumberFormat="1" applyFont="1" applyBorder="1" applyAlignment="1">
      <alignment horizontal="right" vertical="center"/>
    </xf>
    <xf numFmtId="168" fontId="43" fillId="0" borderId="2" xfId="0" applyNumberFormat="1" applyFont="1" applyBorder="1" applyAlignment="1">
      <alignment horizontal="right" vertical="center"/>
    </xf>
    <xf numFmtId="0" fontId="47" fillId="8" borderId="2" xfId="0" applyFont="1" applyFill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3" fontId="50" fillId="0" borderId="2" xfId="0" applyNumberFormat="1" applyFont="1" applyBorder="1" applyAlignment="1">
      <alignment horizontal="right" vertical="center"/>
    </xf>
    <xf numFmtId="3" fontId="32" fillId="10" borderId="2" xfId="0" applyNumberFormat="1" applyFont="1" applyFill="1" applyBorder="1" applyAlignment="1">
      <alignment horizontal="right" vertical="center"/>
    </xf>
    <xf numFmtId="0" fontId="37" fillId="26" borderId="9" xfId="0" applyFont="1" applyFill="1" applyBorder="1" applyAlignment="1">
      <alignment horizontal="right" vertical="center"/>
    </xf>
    <xf numFmtId="0" fontId="31" fillId="0" borderId="9" xfId="0" applyFont="1" applyBorder="1" applyAlignment="1">
      <alignment horizontal="left" vertical="center"/>
    </xf>
    <xf numFmtId="164" fontId="31" fillId="0" borderId="9" xfId="0" applyNumberFormat="1" applyFont="1" applyBorder="1" applyAlignment="1">
      <alignment horizontal="right" vertical="center"/>
    </xf>
    <xf numFmtId="1" fontId="43" fillId="0" borderId="9" xfId="0" applyNumberFormat="1" applyFont="1" applyBorder="1" applyAlignment="1">
      <alignment horizontal="right" vertical="center"/>
    </xf>
    <xf numFmtId="3" fontId="31" fillId="0" borderId="9" xfId="0" applyNumberFormat="1" applyFont="1" applyBorder="1" applyAlignment="1">
      <alignment horizontal="right" vertical="center"/>
    </xf>
    <xf numFmtId="0" fontId="44" fillId="30" borderId="9" xfId="0" applyFont="1" applyFill="1" applyBorder="1" applyAlignment="1">
      <alignment horizontal="left" vertical="center"/>
    </xf>
    <xf numFmtId="9" fontId="44" fillId="30" borderId="9" xfId="0" applyNumberFormat="1" applyFont="1" applyFill="1" applyBorder="1" applyAlignment="1">
      <alignment horizontal="right" vertical="center"/>
    </xf>
    <xf numFmtId="3" fontId="44" fillId="30" borderId="9" xfId="0" applyNumberFormat="1" applyFont="1" applyFill="1" applyBorder="1" applyAlignment="1">
      <alignment horizontal="right" vertical="center"/>
    </xf>
    <xf numFmtId="164" fontId="44" fillId="30" borderId="9" xfId="0" applyNumberFormat="1" applyFont="1" applyFill="1" applyBorder="1" applyAlignment="1">
      <alignment horizontal="right" vertical="center"/>
    </xf>
    <xf numFmtId="169" fontId="44" fillId="30" borderId="9" xfId="0" applyNumberFormat="1" applyFont="1" applyFill="1" applyBorder="1" applyAlignment="1">
      <alignment horizontal="right" vertical="center"/>
    </xf>
    <xf numFmtId="0" fontId="44" fillId="30" borderId="9" xfId="0" applyFont="1" applyFill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1" fontId="21" fillId="12" borderId="2" xfId="0" applyNumberFormat="1" applyFont="1" applyFill="1" applyBorder="1" applyAlignment="1">
      <alignment horizontal="right" vertical="center"/>
    </xf>
    <xf numFmtId="1" fontId="21" fillId="14" borderId="2" xfId="0" applyNumberFormat="1" applyFont="1" applyFill="1" applyBorder="1" applyAlignment="1">
      <alignment horizontal="right" vertical="center"/>
    </xf>
    <xf numFmtId="1" fontId="0" fillId="0" borderId="0" xfId="0" applyNumberFormat="1" applyBorder="1"/>
    <xf numFmtId="1" fontId="7" fillId="9" borderId="2" xfId="0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4" borderId="10" xfId="0" applyFill="1" applyAlignment="1">
      <alignment horizontal="right" vertical="center"/>
    </xf>
    <xf numFmtId="0" fontId="7" fillId="5" borderId="9" xfId="0" applyFont="1" applyFill="1" applyBorder="1" applyAlignment="1">
      <alignment horizontal="right" vertical="center"/>
    </xf>
    <xf numFmtId="0" fontId="38" fillId="3" borderId="9" xfId="0" applyFont="1" applyFill="1" applyBorder="1" applyAlignment="1">
      <alignment horizontal="right" vertical="center"/>
    </xf>
    <xf numFmtId="3" fontId="6" fillId="0" borderId="9" xfId="0" applyNumberFormat="1" applyFont="1" applyBorder="1" applyAlignment="1">
      <alignment horizontal="right" vertical="center"/>
    </xf>
    <xf numFmtId="3" fontId="6" fillId="4" borderId="9" xfId="0" applyNumberFormat="1" applyFont="1" applyFill="1" applyBorder="1" applyAlignment="1">
      <alignment horizontal="right" vertical="center"/>
    </xf>
    <xf numFmtId="164" fontId="5" fillId="4" borderId="9" xfId="0" applyNumberFormat="1" applyFont="1" applyFill="1" applyBorder="1" applyAlignment="1">
      <alignment horizontal="right" vertical="center"/>
    </xf>
    <xf numFmtId="1" fontId="23" fillId="4" borderId="2" xfId="0" applyNumberFormat="1" applyFont="1" applyFill="1" applyBorder="1" applyAlignment="1">
      <alignment horizontal="right" vertical="center"/>
    </xf>
    <xf numFmtId="0" fontId="55" fillId="9" borderId="10" xfId="0" applyFont="1" applyFill="1" applyAlignment="1">
      <alignment horizontal="left" vertical="center" wrapText="1"/>
    </xf>
    <xf numFmtId="166" fontId="55" fillId="9" borderId="10" xfId="0" applyNumberFormat="1" applyFont="1" applyFill="1" applyAlignment="1">
      <alignment horizontal="right" vertical="center"/>
    </xf>
    <xf numFmtId="0" fontId="52" fillId="32" borderId="12" xfId="0" applyFont="1" applyFill="1" applyBorder="1"/>
    <xf numFmtId="0" fontId="38" fillId="33" borderId="9" xfId="0" applyFont="1" applyFill="1" applyBorder="1" applyAlignment="1">
      <alignment horizontal="right"/>
    </xf>
    <xf numFmtId="164" fontId="0" fillId="0" borderId="9" xfId="0" applyNumberFormat="1" applyBorder="1"/>
    <xf numFmtId="168" fontId="53" fillId="0" borderId="9" xfId="0" applyNumberFormat="1" applyFont="1" applyBorder="1" applyAlignment="1">
      <alignment horizontal="right"/>
    </xf>
    <xf numFmtId="168" fontId="56" fillId="0" borderId="9" xfId="0" applyNumberFormat="1" applyFont="1" applyBorder="1" applyAlignment="1">
      <alignment horizontal="right"/>
    </xf>
    <xf numFmtId="168" fontId="17" fillId="0" borderId="9" xfId="0" applyNumberFormat="1" applyFont="1" applyBorder="1" applyAlignment="1">
      <alignment horizontal="right"/>
    </xf>
    <xf numFmtId="0" fontId="38" fillId="33" borderId="9" xfId="0" applyFont="1" applyFill="1" applyBorder="1"/>
    <xf numFmtId="0" fontId="23" fillId="35" borderId="9" xfId="0" applyFont="1" applyFill="1" applyBorder="1" applyAlignment="1">
      <alignment horizontal="left"/>
    </xf>
    <xf numFmtId="0" fontId="53" fillId="0" borderId="9" xfId="0" applyFont="1" applyBorder="1"/>
    <xf numFmtId="0" fontId="56" fillId="0" borderId="9" xfId="0" applyFont="1" applyBorder="1"/>
    <xf numFmtId="0" fontId="17" fillId="0" borderId="9" xfId="0" applyFont="1" applyBorder="1"/>
    <xf numFmtId="0" fontId="53" fillId="0" borderId="13" xfId="0" applyFont="1" applyBorder="1" applyAlignment="1">
      <alignment horizontal="left"/>
    </xf>
    <xf numFmtId="166" fontId="6" fillId="0" borderId="13" xfId="0" applyNumberFormat="1" applyFont="1" applyBorder="1" applyAlignment="1">
      <alignment horizontal="right"/>
    </xf>
    <xf numFmtId="0" fontId="23" fillId="35" borderId="12" xfId="0" applyFont="1" applyFill="1" applyBorder="1" applyAlignment="1">
      <alignment horizontal="left"/>
    </xf>
    <xf numFmtId="166" fontId="23" fillId="35" borderId="12" xfId="0" applyNumberFormat="1" applyFont="1" applyFill="1" applyBorder="1" applyAlignment="1">
      <alignment horizontal="right"/>
    </xf>
    <xf numFmtId="0" fontId="54" fillId="34" borderId="15" xfId="0" applyFont="1" applyFill="1" applyBorder="1" applyAlignment="1">
      <alignment horizontal="left"/>
    </xf>
    <xf numFmtId="166" fontId="54" fillId="34" borderId="15" xfId="0" applyNumberFormat="1" applyFont="1" applyFill="1" applyBorder="1" applyAlignment="1">
      <alignment horizontal="right"/>
    </xf>
    <xf numFmtId="0" fontId="4" fillId="0" borderId="10" xfId="0" applyFont="1" applyAlignment="1">
      <alignment horizontal="left" vertical="center" wrapText="1"/>
    </xf>
    <xf numFmtId="3" fontId="4" fillId="0" borderId="10" xfId="0" applyNumberFormat="1" applyFont="1" applyAlignment="1">
      <alignment horizontal="left" vertical="center" wrapText="1"/>
    </xf>
    <xf numFmtId="0" fontId="58" fillId="36" borderId="11" xfId="0" applyFont="1" applyFill="1" applyBorder="1" applyAlignment="1">
      <alignment horizontal="left" vertical="center" wrapText="1"/>
    </xf>
    <xf numFmtId="3" fontId="4" fillId="36" borderId="11" xfId="0" applyNumberFormat="1" applyFont="1" applyFill="1" applyBorder="1" applyAlignment="1">
      <alignment horizontal="left" vertical="center" wrapText="1"/>
    </xf>
    <xf numFmtId="0" fontId="38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right" vertical="center"/>
    </xf>
    <xf numFmtId="164" fontId="55" fillId="35" borderId="14" xfId="0" applyNumberFormat="1" applyFont="1" applyFill="1" applyBorder="1" applyAlignment="1">
      <alignment horizontal="right" vertical="center" wrapText="1"/>
    </xf>
    <xf numFmtId="3" fontId="55" fillId="36" borderId="9" xfId="0" applyNumberFormat="1" applyFont="1" applyFill="1" applyBorder="1" applyAlignment="1">
      <alignment horizontal="right" vertical="center" wrapText="1"/>
    </xf>
    <xf numFmtId="0" fontId="24" fillId="35" borderId="14" xfId="0" applyFont="1" applyFill="1" applyBorder="1" applyAlignment="1">
      <alignment horizontal="left" vertical="center" wrapText="1"/>
    </xf>
    <xf numFmtId="0" fontId="24" fillId="36" borderId="9" xfId="0" applyFont="1" applyFill="1" applyBorder="1" applyAlignment="1">
      <alignment horizontal="left" vertical="center" wrapText="1"/>
    </xf>
    <xf numFmtId="0" fontId="24" fillId="36" borderId="13" xfId="0" applyFont="1" applyFill="1" applyBorder="1" applyAlignment="1">
      <alignment horizontal="left" vertical="center" wrapText="1"/>
    </xf>
    <xf numFmtId="168" fontId="55" fillId="36" borderId="13" xfId="0" applyNumberFormat="1" applyFont="1" applyFill="1" applyBorder="1" applyAlignment="1">
      <alignment horizontal="right" vertical="center" wrapText="1"/>
    </xf>
    <xf numFmtId="0" fontId="59" fillId="36" borderId="12" xfId="0" applyFont="1" applyFill="1" applyBorder="1" applyAlignment="1">
      <alignment horizontal="left" vertical="center" wrapText="1"/>
    </xf>
    <xf numFmtId="168" fontId="60" fillId="36" borderId="12" xfId="0" applyNumberFormat="1" applyFont="1" applyFill="1" applyBorder="1" applyAlignment="1">
      <alignment horizontal="right" vertical="center" wrapText="1"/>
    </xf>
    <xf numFmtId="3" fontId="4" fillId="36" borderId="12" xfId="0" applyNumberFormat="1" applyFont="1" applyFill="1" applyBorder="1" applyAlignment="1">
      <alignment horizontal="left" vertical="center" wrapText="1"/>
    </xf>
    <xf numFmtId="0" fontId="4" fillId="36" borderId="16" xfId="0" applyFont="1" applyFill="1" applyBorder="1" applyAlignment="1">
      <alignment horizontal="left" vertical="center" wrapText="1"/>
    </xf>
    <xf numFmtId="3" fontId="4" fillId="36" borderId="16" xfId="0" applyNumberFormat="1" applyFont="1" applyFill="1" applyBorder="1" applyAlignment="1">
      <alignment horizontal="left" vertical="center" wrapText="1"/>
    </xf>
    <xf numFmtId="0" fontId="42" fillId="0" borderId="2" xfId="0" applyFont="1" applyBorder="1" applyAlignment="1">
      <alignment vertical="center" wrapText="1"/>
    </xf>
    <xf numFmtId="0" fontId="24" fillId="9" borderId="6" xfId="0" applyFont="1" applyFill="1" applyBorder="1" applyAlignment="1">
      <alignment vertical="center" wrapText="1"/>
    </xf>
    <xf numFmtId="0" fontId="38" fillId="0" borderId="2" xfId="0" applyFont="1" applyBorder="1" applyAlignment="1">
      <alignment vertical="center" wrapText="1"/>
    </xf>
    <xf numFmtId="0" fontId="38" fillId="3" borderId="2" xfId="0" applyFont="1" applyFill="1" applyBorder="1" applyAlignment="1">
      <alignment vertical="center" wrapText="1"/>
    </xf>
    <xf numFmtId="0" fontId="44" fillId="9" borderId="2" xfId="0" applyFont="1" applyFill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61" fillId="37" borderId="0" xfId="0" applyFont="1" applyFill="1" applyBorder="1" applyAlignment="1">
      <alignment horizontal="left" vertical="center"/>
    </xf>
    <xf numFmtId="0" fontId="62" fillId="0" borderId="0" xfId="0" applyFont="1" applyBorder="1"/>
    <xf numFmtId="10" fontId="62" fillId="0" borderId="0" xfId="0" applyNumberFormat="1" applyFont="1" applyBorder="1"/>
    <xf numFmtId="10" fontId="57" fillId="0" borderId="0" xfId="0" applyNumberFormat="1" applyFont="1" applyBorder="1"/>
    <xf numFmtId="0" fontId="0" fillId="37" borderId="0" xfId="0" applyFill="1" applyBorder="1"/>
    <xf numFmtId="0" fontId="63" fillId="0" borderId="0" xfId="0" applyFont="1" applyBorder="1"/>
    <xf numFmtId="0" fontId="62" fillId="0" borderId="0" xfId="0" applyFont="1" applyBorder="1" applyAlignment="1">
      <alignment horizontal="center"/>
    </xf>
    <xf numFmtId="167" fontId="62" fillId="0" borderId="0" xfId="0" applyNumberFormat="1" applyFont="1" applyBorder="1"/>
    <xf numFmtId="167" fontId="57" fillId="0" borderId="0" xfId="0" applyNumberFormat="1" applyFont="1" applyBorder="1"/>
    <xf numFmtId="0" fontId="9" fillId="13" borderId="10" xfId="0" applyFont="1" applyFill="1" applyAlignment="1">
      <alignment horizontal="left" vertical="center"/>
    </xf>
    <xf numFmtId="164" fontId="9" fillId="13" borderId="10" xfId="0" applyNumberFormat="1" applyFont="1" applyFill="1" applyAlignment="1">
      <alignment horizontal="right" vertical="center"/>
    </xf>
    <xf numFmtId="0" fontId="44" fillId="13" borderId="10" xfId="0" applyFont="1" applyFill="1" applyAlignment="1">
      <alignment horizontal="left" vertical="center"/>
    </xf>
    <xf numFmtId="164" fontId="10" fillId="13" borderId="10" xfId="0" applyNumberFormat="1" applyFont="1" applyFill="1" applyAlignment="1">
      <alignment horizontal="right" vertical="center"/>
    </xf>
    <xf numFmtId="0" fontId="10" fillId="13" borderId="10" xfId="0" applyFont="1" applyFill="1" applyAlignment="1">
      <alignment horizontal="left" vertical="center"/>
    </xf>
    <xf numFmtId="3" fontId="10" fillId="13" borderId="10" xfId="0" applyNumberFormat="1" applyFont="1" applyFill="1" applyAlignment="1">
      <alignment horizontal="right" vertical="center"/>
    </xf>
    <xf numFmtId="0" fontId="64" fillId="0" borderId="0" xfId="0" applyFont="1" applyBorder="1" applyAlignment="1">
      <alignment horizontal="left" vertical="center" wrapText="1"/>
    </xf>
    <xf numFmtId="164" fontId="64" fillId="0" borderId="0" xfId="0" applyNumberFormat="1" applyFont="1" applyBorder="1" applyAlignment="1">
      <alignment horizontal="right" vertical="center"/>
    </xf>
    <xf numFmtId="9" fontId="6" fillId="0" borderId="2" xfId="2" applyFont="1" applyBorder="1" applyAlignment="1">
      <alignment horizontal="right" vertical="center"/>
    </xf>
    <xf numFmtId="1" fontId="0" fillId="0" borderId="0" xfId="0" applyNumberFormat="1" applyBorder="1" applyAlignment="1">
      <alignment horizontal="right"/>
    </xf>
    <xf numFmtId="0" fontId="44" fillId="9" borderId="2" xfId="0" applyFont="1" applyFill="1" applyBorder="1" applyAlignment="1">
      <alignment horizontal="left" vertical="center"/>
    </xf>
    <xf numFmtId="1" fontId="44" fillId="0" borderId="2" xfId="0" applyNumberFormat="1" applyFont="1" applyBorder="1" applyAlignment="1">
      <alignment horizontal="right" vertical="center"/>
    </xf>
    <xf numFmtId="2" fontId="44" fillId="0" borderId="2" xfId="0" applyNumberFormat="1" applyFont="1" applyBorder="1" applyAlignment="1">
      <alignment horizontal="right" vertical="center"/>
    </xf>
    <xf numFmtId="164" fontId="44" fillId="0" borderId="2" xfId="0" applyNumberFormat="1" applyFont="1" applyBorder="1" applyAlignment="1">
      <alignment horizontal="right" vertical="center"/>
    </xf>
    <xf numFmtId="0" fontId="44" fillId="9" borderId="2" xfId="0" applyFon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43" fillId="38" borderId="2" xfId="0" applyFont="1" applyFill="1" applyBorder="1" applyAlignment="1">
      <alignment horizontal="left" vertical="center"/>
    </xf>
    <xf numFmtId="2" fontId="10" fillId="39" borderId="2" xfId="0" applyNumberFormat="1" applyFont="1" applyFill="1" applyBorder="1" applyAlignment="1">
      <alignment horizontal="right" vertical="center"/>
    </xf>
    <xf numFmtId="0" fontId="0" fillId="38" borderId="0" xfId="0" applyFill="1" applyBorder="1"/>
    <xf numFmtId="0" fontId="0" fillId="0" borderId="8" xfId="0" applyBorder="1"/>
    <xf numFmtId="0" fontId="0" fillId="0" borderId="7" xfId="0" applyBorder="1"/>
    <xf numFmtId="0" fontId="10" fillId="0" borderId="9" xfId="0" applyFont="1" applyBorder="1" applyAlignment="1">
      <alignment horizontal="left" vertical="center"/>
    </xf>
    <xf numFmtId="0" fontId="65" fillId="0" borderId="0" xfId="0" applyFont="1" applyBorder="1" applyAlignment="1">
      <alignment horizontal="left" vertical="center"/>
    </xf>
    <xf numFmtId="3" fontId="65" fillId="0" borderId="0" xfId="0" applyNumberFormat="1" applyFont="1" applyBorder="1" applyAlignment="1">
      <alignment horizontal="right" vertical="center"/>
    </xf>
    <xf numFmtId="0" fontId="65" fillId="0" borderId="0" xfId="0" applyFont="1" applyBorder="1" applyAlignment="1">
      <alignment horizontal="center" vertical="center"/>
    </xf>
    <xf numFmtId="0" fontId="66" fillId="0" borderId="0" xfId="0" applyFont="1" applyBorder="1" applyAlignment="1">
      <alignment horizontal="left" vertical="center"/>
    </xf>
    <xf numFmtId="0" fontId="44" fillId="36" borderId="0" xfId="0" applyFont="1" applyFill="1" applyBorder="1" applyAlignment="1">
      <alignment horizontal="left"/>
    </xf>
    <xf numFmtId="166" fontId="17" fillId="40" borderId="0" xfId="0" applyNumberFormat="1" applyFont="1" applyFill="1" applyBorder="1" applyAlignment="1">
      <alignment horizontal="right"/>
    </xf>
    <xf numFmtId="0" fontId="16" fillId="36" borderId="0" xfId="0" applyFont="1" applyFill="1" applyBorder="1" applyAlignment="1">
      <alignment horizontal="left"/>
    </xf>
    <xf numFmtId="164" fontId="17" fillId="40" borderId="0" xfId="0" applyNumberFormat="1" applyFont="1" applyFill="1" applyBorder="1" applyAlignment="1">
      <alignment horizontal="right"/>
    </xf>
    <xf numFmtId="166" fontId="10" fillId="36" borderId="2" xfId="0" applyNumberFormat="1" applyFont="1" applyFill="1" applyBorder="1" applyAlignment="1">
      <alignment horizontal="right" vertical="center"/>
    </xf>
    <xf numFmtId="49" fontId="16" fillId="36" borderId="2" xfId="0" applyNumberFormat="1" applyFont="1" applyFill="1" applyBorder="1" applyAlignment="1">
      <alignment horizontal="left" vertical="center"/>
    </xf>
    <xf numFmtId="0" fontId="27" fillId="26" borderId="10" xfId="0" applyFont="1" applyFill="1" applyAlignment="1">
      <alignment horizontal="left" vertical="center"/>
    </xf>
    <xf numFmtId="3" fontId="27" fillId="26" borderId="10" xfId="0" applyNumberFormat="1" applyFont="1" applyFill="1" applyAlignment="1">
      <alignment horizontal="right" vertical="center"/>
    </xf>
    <xf numFmtId="3" fontId="27" fillId="41" borderId="10" xfId="0" applyNumberFormat="1" applyFont="1" applyFill="1" applyAlignment="1">
      <alignment horizontal="right" vertical="center"/>
    </xf>
    <xf numFmtId="0" fontId="37" fillId="41" borderId="10" xfId="0" applyFont="1" applyFill="1"/>
    <xf numFmtId="0" fontId="8" fillId="41" borderId="18" xfId="0" applyFont="1" applyFill="1" applyBorder="1" applyAlignment="1">
      <alignment horizontal="left" vertical="center"/>
    </xf>
    <xf numFmtId="3" fontId="44" fillId="42" borderId="11" xfId="0" applyNumberFormat="1" applyFont="1" applyFill="1" applyBorder="1" applyAlignment="1">
      <alignment horizontal="right" vertical="center"/>
    </xf>
    <xf numFmtId="0" fontId="18" fillId="36" borderId="17" xfId="0" applyFont="1" applyFill="1" applyBorder="1" applyAlignment="1">
      <alignment horizontal="left"/>
    </xf>
    <xf numFmtId="0" fontId="44" fillId="42" borderId="18" xfId="0" applyFont="1" applyFill="1" applyBorder="1" applyAlignment="1">
      <alignment horizontal="left" vertical="center"/>
    </xf>
    <xf numFmtId="3" fontId="44" fillId="36" borderId="8" xfId="0" applyNumberFormat="1" applyFont="1" applyFill="1" applyBorder="1" applyAlignment="1">
      <alignment horizontal="right" vertical="center"/>
    </xf>
    <xf numFmtId="0" fontId="18" fillId="36" borderId="18" xfId="0" applyFont="1" applyFill="1" applyBorder="1" applyAlignment="1">
      <alignment horizontal="left"/>
    </xf>
    <xf numFmtId="0" fontId="44" fillId="36" borderId="18" xfId="0" applyFont="1" applyFill="1" applyBorder="1" applyAlignment="1">
      <alignment horizontal="left" vertical="center"/>
    </xf>
    <xf numFmtId="0" fontId="59" fillId="36" borderId="18" xfId="0" applyFont="1" applyFill="1" applyBorder="1" applyAlignment="1">
      <alignment horizontal="left" vertical="center"/>
    </xf>
    <xf numFmtId="3" fontId="59" fillId="36" borderId="10" xfId="0" applyNumberFormat="1" applyFont="1" applyFill="1" applyAlignment="1">
      <alignment horizontal="right" vertical="center"/>
    </xf>
    <xf numFmtId="165" fontId="6" fillId="35" borderId="2" xfId="0" applyNumberFormat="1" applyFont="1" applyFill="1" applyBorder="1" applyAlignment="1">
      <alignment horizontal="right" vertical="center"/>
    </xf>
    <xf numFmtId="172" fontId="42" fillId="0" borderId="2" xfId="0" applyNumberFormat="1" applyFont="1" applyBorder="1" applyAlignment="1">
      <alignment horizontal="right" vertical="center"/>
    </xf>
    <xf numFmtId="172" fontId="6" fillId="0" borderId="2" xfId="0" applyNumberFormat="1" applyFont="1" applyBorder="1" applyAlignment="1">
      <alignment horizontal="right" vertical="center"/>
    </xf>
    <xf numFmtId="173" fontId="1" fillId="0" borderId="10" xfId="1" applyNumberFormat="1" applyFont="1" applyAlignment="1">
      <alignment horizontal="left" indent="1"/>
    </xf>
    <xf numFmtId="0" fontId="15" fillId="34" borderId="0" xfId="0" applyFont="1" applyFill="1" applyBorder="1"/>
    <xf numFmtId="0" fontId="62" fillId="34" borderId="0" xfId="0" applyFont="1" applyFill="1" applyBorder="1" applyAlignment="1">
      <alignment horizontal="center"/>
    </xf>
    <xf numFmtId="0" fontId="0" fillId="34" borderId="0" xfId="0" applyFill="1" applyBorder="1"/>
    <xf numFmtId="0" fontId="69" fillId="0" borderId="0" xfId="0" applyFont="1" applyBorder="1"/>
    <xf numFmtId="9" fontId="34" fillId="40" borderId="0" xfId="0" applyNumberFormat="1" applyFont="1" applyFill="1" applyBorder="1" applyAlignment="1">
      <alignment horizontal="center"/>
    </xf>
    <xf numFmtId="0" fontId="16" fillId="0" borderId="0" xfId="0" applyFont="1" applyBorder="1"/>
    <xf numFmtId="1" fontId="34" fillId="40" borderId="0" xfId="0" applyNumberFormat="1" applyFont="1" applyFill="1" applyBorder="1" applyAlignment="1">
      <alignment horizontal="center"/>
    </xf>
    <xf numFmtId="0" fontId="69" fillId="42" borderId="0" xfId="0" applyFont="1" applyFill="1" applyBorder="1"/>
    <xf numFmtId="165" fontId="69" fillId="42" borderId="0" xfId="0" applyNumberFormat="1" applyFont="1" applyFill="1" applyBorder="1" applyAlignment="1">
      <alignment horizontal="center"/>
    </xf>
    <xf numFmtId="10" fontId="71" fillId="0" borderId="0" xfId="0" applyNumberFormat="1" applyFont="1" applyBorder="1"/>
    <xf numFmtId="10" fontId="71" fillId="36" borderId="0" xfId="0" applyNumberFormat="1" applyFont="1" applyFill="1" applyBorder="1"/>
    <xf numFmtId="0" fontId="15" fillId="34" borderId="0" xfId="0" applyFont="1" applyFill="1" applyBorder="1" applyAlignment="1">
      <alignment horizontal="left" vertical="center"/>
    </xf>
    <xf numFmtId="0" fontId="15" fillId="34" borderId="0" xfId="0" applyFont="1" applyFill="1" applyBorder="1" applyAlignment="1">
      <alignment horizontal="center"/>
    </xf>
    <xf numFmtId="0" fontId="72" fillId="0" borderId="0" xfId="0" applyFont="1" applyBorder="1"/>
    <xf numFmtId="0" fontId="56" fillId="0" borderId="0" xfId="0" applyFont="1" applyBorder="1"/>
    <xf numFmtId="0" fontId="57" fillId="0" borderId="0" xfId="0" applyFont="1" applyBorder="1"/>
    <xf numFmtId="164" fontId="17" fillId="40" borderId="0" xfId="0" applyNumberFormat="1" applyFont="1" applyFill="1" applyBorder="1"/>
    <xf numFmtId="165" fontId="21" fillId="0" borderId="0" xfId="0" applyNumberFormat="1" applyFont="1" applyBorder="1"/>
    <xf numFmtId="164" fontId="0" fillId="0" borderId="0" xfId="0" applyNumberFormat="1" applyBorder="1"/>
    <xf numFmtId="164" fontId="10" fillId="0" borderId="0" xfId="0" applyNumberFormat="1" applyFont="1" applyBorder="1"/>
    <xf numFmtId="10" fontId="69" fillId="0" borderId="0" xfId="0" applyNumberFormat="1" applyFont="1" applyBorder="1"/>
    <xf numFmtId="2" fontId="16" fillId="0" borderId="0" xfId="0" applyNumberFormat="1" applyFont="1" applyBorder="1"/>
    <xf numFmtId="0" fontId="65" fillId="0" borderId="0" xfId="0" applyFont="1" applyBorder="1" applyAlignment="1">
      <alignment horizontal="left" vertical="center" wrapText="1"/>
    </xf>
    <xf numFmtId="0" fontId="65" fillId="0" borderId="0" xfId="0" applyFont="1" applyBorder="1" applyAlignment="1">
      <alignment horizontal="right" vertical="center"/>
    </xf>
    <xf numFmtId="0" fontId="65" fillId="0" borderId="0" xfId="0" applyFont="1" applyBorder="1"/>
    <xf numFmtId="0" fontId="18" fillId="11" borderId="10" xfId="0" applyFont="1" applyFill="1" applyAlignment="1">
      <alignment horizontal="left" vertical="center"/>
    </xf>
    <xf numFmtId="0" fontId="18" fillId="13" borderId="9" xfId="0" applyFont="1" applyFill="1" applyBorder="1" applyAlignment="1">
      <alignment horizontal="left" vertical="center"/>
    </xf>
    <xf numFmtId="0" fontId="41" fillId="0" borderId="10" xfId="0" applyFont="1" applyAlignment="1">
      <alignment horizontal="left" vertical="center"/>
    </xf>
    <xf numFmtId="3" fontId="41" fillId="0" borderId="10" xfId="0" applyNumberFormat="1" applyFont="1" applyAlignment="1">
      <alignment horizontal="right" vertical="center"/>
    </xf>
    <xf numFmtId="164" fontId="41" fillId="0" borderId="10" xfId="0" applyNumberFormat="1" applyFont="1" applyAlignment="1">
      <alignment horizontal="right" vertical="center"/>
    </xf>
    <xf numFmtId="0" fontId="18" fillId="12" borderId="9" xfId="0" applyFont="1" applyFill="1" applyBorder="1" applyAlignment="1">
      <alignment horizontal="left" vertical="center"/>
    </xf>
    <xf numFmtId="0" fontId="9" fillId="14" borderId="9" xfId="0" applyFont="1" applyFill="1" applyBorder="1" applyAlignment="1">
      <alignment horizontal="left" vertical="center"/>
    </xf>
    <xf numFmtId="3" fontId="9" fillId="14" borderId="9" xfId="0" applyNumberFormat="1" applyFont="1" applyFill="1" applyBorder="1" applyAlignment="1">
      <alignment horizontal="right" vertical="center"/>
    </xf>
    <xf numFmtId="164" fontId="9" fillId="14" borderId="9" xfId="0" applyNumberFormat="1" applyFont="1" applyFill="1" applyBorder="1" applyAlignment="1">
      <alignment horizontal="right" vertical="center"/>
    </xf>
    <xf numFmtId="0" fontId="8" fillId="41" borderId="9" xfId="0" applyFont="1" applyFill="1" applyBorder="1" applyAlignment="1">
      <alignment horizontal="left" vertical="center"/>
    </xf>
    <xf numFmtId="0" fontId="15" fillId="34" borderId="9" xfId="0" applyFont="1" applyFill="1" applyBorder="1" applyAlignment="1">
      <alignment horizontal="left" vertical="center"/>
    </xf>
    <xf numFmtId="164" fontId="15" fillId="34" borderId="9" xfId="0" applyNumberFormat="1" applyFont="1" applyFill="1" applyBorder="1" applyAlignment="1">
      <alignment horizontal="center" vertical="center"/>
    </xf>
    <xf numFmtId="0" fontId="15" fillId="34" borderId="9" xfId="0" applyFont="1" applyFill="1" applyBorder="1" applyAlignment="1">
      <alignment horizontal="center" vertical="center"/>
    </xf>
    <xf numFmtId="0" fontId="15" fillId="34" borderId="10" xfId="0" applyFont="1" applyFill="1" applyAlignment="1">
      <alignment horizontal="center"/>
    </xf>
    <xf numFmtId="0" fontId="15" fillId="40" borderId="9" xfId="0" applyFont="1" applyFill="1" applyBorder="1" applyAlignment="1">
      <alignment horizontal="left" vertical="center"/>
    </xf>
    <xf numFmtId="0" fontId="44" fillId="34" borderId="9" xfId="0" applyFont="1" applyFill="1" applyBorder="1" applyAlignment="1">
      <alignment horizontal="left" vertical="center"/>
    </xf>
    <xf numFmtId="0" fontId="15" fillId="43" borderId="9" xfId="0" applyFont="1" applyFill="1" applyBorder="1" applyAlignment="1">
      <alignment horizontal="left" vertical="center"/>
    </xf>
    <xf numFmtId="0" fontId="15" fillId="44" borderId="9" xfId="0" applyFont="1" applyFill="1" applyBorder="1" applyAlignment="1">
      <alignment horizontal="left" vertical="center"/>
    </xf>
    <xf numFmtId="164" fontId="17" fillId="40" borderId="9" xfId="0" applyNumberFormat="1" applyFont="1" applyFill="1" applyBorder="1" applyAlignment="1">
      <alignment horizontal="right" vertical="center"/>
    </xf>
    <xf numFmtId="1" fontId="17" fillId="40" borderId="9" xfId="0" applyNumberFormat="1" applyFont="1" applyFill="1" applyBorder="1" applyAlignment="1">
      <alignment horizontal="center" vertical="center"/>
    </xf>
    <xf numFmtId="1" fontId="57" fillId="40" borderId="0" xfId="0" applyNumberFormat="1" applyFont="1" applyFill="1" applyBorder="1" applyAlignment="1">
      <alignment horizontal="center"/>
    </xf>
    <xf numFmtId="1" fontId="21" fillId="0" borderId="9" xfId="0" applyNumberFormat="1" applyFont="1" applyBorder="1" applyAlignment="1">
      <alignment horizontal="center" vertical="center"/>
    </xf>
    <xf numFmtId="1" fontId="73" fillId="0" borderId="0" xfId="0" applyNumberFormat="1" applyFont="1" applyBorder="1" applyAlignment="1">
      <alignment horizontal="center"/>
    </xf>
    <xf numFmtId="3" fontId="0" fillId="0" borderId="0" xfId="0" applyNumberFormat="1" applyBorder="1" applyAlignment="1">
      <alignment horizontal="right"/>
    </xf>
    <xf numFmtId="0" fontId="8" fillId="41" borderId="0" xfId="0" applyFont="1" applyFill="1" applyBorder="1"/>
    <xf numFmtId="0" fontId="68" fillId="40" borderId="0" xfId="0" applyFont="1" applyFill="1" applyBorder="1"/>
    <xf numFmtId="0" fontId="68" fillId="44" borderId="0" xfId="0" applyFont="1" applyFill="1" applyBorder="1"/>
    <xf numFmtId="0" fontId="68" fillId="45" borderId="0" xfId="0" applyFont="1" applyFill="1" applyBorder="1"/>
    <xf numFmtId="165" fontId="0" fillId="0" borderId="0" xfId="0" applyNumberFormat="1" applyBorder="1"/>
    <xf numFmtId="0" fontId="0" fillId="0" borderId="0" xfId="0" applyBorder="1" applyAlignment="1">
      <alignment horizontal="center"/>
    </xf>
    <xf numFmtId="3" fontId="42" fillId="0" borderId="9" xfId="0" applyNumberFormat="1" applyFont="1" applyBorder="1" applyAlignment="1">
      <alignment horizontal="right" vertical="center"/>
    </xf>
    <xf numFmtId="0" fontId="61" fillId="41" borderId="0" xfId="0" applyFont="1" applyFill="1" applyBorder="1"/>
    <xf numFmtId="0" fontId="74" fillId="34" borderId="0" xfId="0" applyFont="1" applyFill="1" applyBorder="1"/>
    <xf numFmtId="0" fontId="62" fillId="34" borderId="0" xfId="0" applyFont="1" applyFill="1" applyBorder="1"/>
    <xf numFmtId="0" fontId="75" fillId="0" borderId="0" xfId="0" applyFont="1" applyBorder="1"/>
    <xf numFmtId="0" fontId="76" fillId="46" borderId="0" xfId="0" applyFont="1" applyFill="1" applyBorder="1"/>
    <xf numFmtId="0" fontId="61" fillId="34" borderId="0" xfId="0" applyFont="1" applyFill="1" applyBorder="1" applyAlignment="1">
      <alignment horizontal="center"/>
    </xf>
    <xf numFmtId="165" fontId="62" fillId="34" borderId="0" xfId="0" applyNumberFormat="1" applyFont="1" applyFill="1" applyBorder="1"/>
    <xf numFmtId="1" fontId="77" fillId="0" borderId="0" xfId="0" applyNumberFormat="1" applyFont="1" applyBorder="1"/>
    <xf numFmtId="165" fontId="78" fillId="46" borderId="0" xfId="0" applyNumberFormat="1" applyFont="1" applyFill="1" applyBorder="1"/>
    <xf numFmtId="0" fontId="5" fillId="36" borderId="0" xfId="0" applyFont="1" applyFill="1" applyBorder="1" applyAlignment="1">
      <alignment horizontal="left" vertical="center" wrapText="1"/>
    </xf>
    <xf numFmtId="9" fontId="79" fillId="47" borderId="9" xfId="0" applyNumberFormat="1" applyFont="1" applyFill="1" applyBorder="1" applyAlignment="1">
      <alignment horizontal="right" vertical="center"/>
    </xf>
    <xf numFmtId="3" fontId="5" fillId="36" borderId="9" xfId="0" applyNumberFormat="1" applyFont="1" applyFill="1" applyBorder="1" applyAlignment="1">
      <alignment horizontal="right" vertical="center"/>
    </xf>
    <xf numFmtId="9" fontId="5" fillId="36" borderId="9" xfId="0" applyNumberFormat="1" applyFont="1" applyFill="1" applyBorder="1" applyAlignment="1">
      <alignment horizontal="right" vertical="center"/>
    </xf>
    <xf numFmtId="164" fontId="43" fillId="41" borderId="9" xfId="0" applyNumberFormat="1" applyFont="1" applyFill="1" applyBorder="1" applyAlignment="1">
      <alignment horizontal="right" vertical="center"/>
    </xf>
    <xf numFmtId="0" fontId="39" fillId="41" borderId="9" xfId="0" applyFont="1" applyFill="1" applyBorder="1" applyAlignment="1">
      <alignment horizontal="center" vertical="center"/>
    </xf>
    <xf numFmtId="0" fontId="39" fillId="41" borderId="0" xfId="0" applyFont="1" applyFill="1" applyBorder="1" applyAlignment="1">
      <alignment horizontal="center"/>
    </xf>
    <xf numFmtId="0" fontId="39" fillId="41" borderId="10" xfId="0" applyFont="1" applyFill="1" applyAlignment="1">
      <alignment horizontal="center"/>
    </xf>
    <xf numFmtId="0" fontId="20" fillId="46" borderId="9" xfId="0" applyFont="1" applyFill="1" applyBorder="1" applyAlignment="1">
      <alignment horizontal="left" vertical="center"/>
    </xf>
    <xf numFmtId="164" fontId="43" fillId="46" borderId="9" xfId="0" applyNumberFormat="1" applyFont="1" applyFill="1" applyBorder="1" applyAlignment="1">
      <alignment horizontal="right" vertical="center"/>
    </xf>
    <xf numFmtId="174" fontId="20" fillId="46" borderId="9" xfId="0" applyNumberFormat="1" applyFont="1" applyFill="1" applyBorder="1" applyAlignment="1">
      <alignment horizontal="center" vertical="center"/>
    </xf>
    <xf numFmtId="174" fontId="20" fillId="46" borderId="0" xfId="0" applyNumberFormat="1" applyFont="1" applyFill="1" applyBorder="1" applyAlignment="1">
      <alignment horizontal="center"/>
    </xf>
    <xf numFmtId="174" fontId="20" fillId="46" borderId="9" xfId="0" applyNumberFormat="1" applyFont="1" applyFill="1" applyBorder="1" applyAlignment="1">
      <alignment horizontal="right" vertical="center"/>
    </xf>
    <xf numFmtId="0" fontId="21" fillId="44" borderId="9" xfId="0" applyFont="1" applyFill="1" applyBorder="1" applyAlignment="1">
      <alignment horizontal="left" vertical="center"/>
    </xf>
    <xf numFmtId="164" fontId="43" fillId="44" borderId="9" xfId="0" applyNumberFormat="1" applyFont="1" applyFill="1" applyBorder="1" applyAlignment="1">
      <alignment horizontal="right" vertical="center"/>
    </xf>
    <xf numFmtId="9" fontId="21" fillId="44" borderId="9" xfId="0" applyNumberFormat="1" applyFont="1" applyFill="1" applyBorder="1" applyAlignment="1">
      <alignment horizontal="center" vertical="center"/>
    </xf>
    <xf numFmtId="9" fontId="21" fillId="44" borderId="0" xfId="0" applyNumberFormat="1" applyFont="1" applyFill="1" applyBorder="1" applyAlignment="1">
      <alignment horizontal="center"/>
    </xf>
    <xf numFmtId="0" fontId="80" fillId="43" borderId="9" xfId="0" applyFont="1" applyFill="1" applyBorder="1" applyAlignment="1">
      <alignment horizontal="left" vertical="center"/>
    </xf>
    <xf numFmtId="164" fontId="80" fillId="43" borderId="9" xfId="0" applyNumberFormat="1" applyFont="1" applyFill="1" applyBorder="1" applyAlignment="1">
      <alignment horizontal="right" vertical="center"/>
    </xf>
    <xf numFmtId="0" fontId="34" fillId="47" borderId="9" xfId="0" applyFont="1" applyFill="1" applyBorder="1" applyAlignment="1">
      <alignment horizontal="left" vertical="center"/>
    </xf>
    <xf numFmtId="164" fontId="34" fillId="47" borderId="9" xfId="0" applyNumberFormat="1" applyFont="1" applyFill="1" applyBorder="1" applyAlignment="1">
      <alignment horizontal="center" vertical="center"/>
    </xf>
    <xf numFmtId="164" fontId="34" fillId="47" borderId="0" xfId="0" applyNumberFormat="1" applyFont="1" applyFill="1" applyBorder="1" applyAlignment="1">
      <alignment horizontal="center"/>
    </xf>
    <xf numFmtId="164" fontId="34" fillId="47" borderId="10" xfId="0" applyNumberFormat="1" applyFont="1" applyFill="1" applyAlignment="1">
      <alignment horizontal="center"/>
    </xf>
    <xf numFmtId="164" fontId="18" fillId="43" borderId="9" xfId="0" applyNumberFormat="1" applyFont="1" applyFill="1" applyBorder="1" applyAlignment="1">
      <alignment horizontal="center" vertical="center"/>
    </xf>
    <xf numFmtId="3" fontId="80" fillId="43" borderId="9" xfId="0" applyNumberFormat="1" applyFont="1" applyFill="1" applyBorder="1" applyAlignment="1">
      <alignment horizontal="center" vertical="center"/>
    </xf>
    <xf numFmtId="3" fontId="80" fillId="43" borderId="0" xfId="0" applyNumberFormat="1" applyFont="1" applyFill="1" applyBorder="1" applyAlignment="1">
      <alignment horizontal="center"/>
    </xf>
    <xf numFmtId="3" fontId="80" fillId="43" borderId="10" xfId="0" applyNumberFormat="1" applyFont="1" applyFill="1" applyAlignment="1">
      <alignment horizontal="center"/>
    </xf>
    <xf numFmtId="0" fontId="20" fillId="48" borderId="9" xfId="0" applyFont="1" applyFill="1" applyBorder="1" applyAlignment="1">
      <alignment horizontal="left" vertical="center"/>
    </xf>
    <xf numFmtId="164" fontId="81" fillId="47" borderId="9" xfId="0" applyNumberFormat="1" applyFont="1" applyFill="1" applyBorder="1" applyAlignment="1">
      <alignment horizontal="center" vertical="center"/>
    </xf>
    <xf numFmtId="164" fontId="81" fillId="48" borderId="9" xfId="0" applyNumberFormat="1" applyFont="1" applyFill="1" applyBorder="1" applyAlignment="1">
      <alignment horizontal="center" vertical="center"/>
    </xf>
    <xf numFmtId="3" fontId="20" fillId="48" borderId="9" xfId="0" applyNumberFormat="1" applyFont="1" applyFill="1" applyBorder="1" applyAlignment="1">
      <alignment horizontal="center" vertical="center"/>
    </xf>
    <xf numFmtId="3" fontId="20" fillId="48" borderId="0" xfId="0" applyNumberFormat="1" applyFont="1" applyFill="1" applyBorder="1" applyAlignment="1">
      <alignment horizontal="center"/>
    </xf>
    <xf numFmtId="3" fontId="20" fillId="48" borderId="10" xfId="0" applyNumberFormat="1" applyFont="1" applyFill="1" applyAlignment="1">
      <alignment horizontal="center"/>
    </xf>
    <xf numFmtId="3" fontId="20" fillId="34" borderId="2" xfId="0" applyNumberFormat="1" applyFont="1" applyFill="1" applyBorder="1" applyAlignment="1">
      <alignment horizontal="right" vertical="center"/>
    </xf>
    <xf numFmtId="0" fontId="82" fillId="44" borderId="0" xfId="0" applyFont="1" applyFill="1" applyBorder="1" applyAlignment="1">
      <alignment horizontal="left" vertical="center" wrapText="1"/>
    </xf>
    <xf numFmtId="164" fontId="82" fillId="44" borderId="9" xfId="0" applyNumberFormat="1" applyFont="1" applyFill="1" applyBorder="1" applyAlignment="1">
      <alignment horizontal="right" vertical="center"/>
    </xf>
    <xf numFmtId="0" fontId="65" fillId="0" borderId="0" xfId="0" applyFont="1" applyBorder="1" applyAlignment="1">
      <alignment horizontal="center" wrapText="1"/>
    </xf>
    <xf numFmtId="0" fontId="83" fillId="49" borderId="9" xfId="0" applyFont="1" applyFill="1" applyBorder="1" applyAlignment="1">
      <alignment horizontal="left" vertical="center"/>
    </xf>
    <xf numFmtId="164" fontId="43" fillId="49" borderId="9" xfId="0" applyNumberFormat="1" applyFont="1" applyFill="1" applyBorder="1" applyAlignment="1">
      <alignment horizontal="right" vertical="center"/>
    </xf>
    <xf numFmtId="174" fontId="20" fillId="49" borderId="9" xfId="0" applyNumberFormat="1" applyFont="1" applyFill="1" applyBorder="1" applyAlignment="1">
      <alignment horizontal="center" vertical="center"/>
    </xf>
    <xf numFmtId="174" fontId="20" fillId="49" borderId="0" xfId="0" applyNumberFormat="1" applyFont="1" applyFill="1" applyBorder="1" applyAlignment="1">
      <alignment horizontal="center"/>
    </xf>
    <xf numFmtId="0" fontId="84" fillId="49" borderId="9" xfId="0" applyFont="1" applyFill="1" applyBorder="1" applyAlignment="1">
      <alignment horizontal="left" vertical="center"/>
    </xf>
    <xf numFmtId="164" fontId="81" fillId="49" borderId="9" xfId="0" applyNumberFormat="1" applyFont="1" applyFill="1" applyBorder="1" applyAlignment="1">
      <alignment horizontal="center" vertical="center"/>
    </xf>
    <xf numFmtId="3" fontId="84" fillId="49" borderId="9" xfId="0" applyNumberFormat="1" applyFont="1" applyFill="1" applyBorder="1" applyAlignment="1">
      <alignment horizontal="center" vertical="center"/>
    </xf>
    <xf numFmtId="3" fontId="84" fillId="49" borderId="0" xfId="0" applyNumberFormat="1" applyFont="1" applyFill="1" applyBorder="1" applyAlignment="1">
      <alignment horizontal="center"/>
    </xf>
    <xf numFmtId="164" fontId="84" fillId="49" borderId="9" xfId="0" applyNumberFormat="1" applyFont="1" applyFill="1" applyBorder="1" applyAlignment="1">
      <alignment horizontal="center" vertical="center"/>
    </xf>
    <xf numFmtId="164" fontId="84" fillId="49" borderId="0" xfId="0" applyNumberFormat="1" applyFont="1" applyFill="1" applyBorder="1" applyAlignment="1">
      <alignment horizontal="center"/>
    </xf>
    <xf numFmtId="0" fontId="85" fillId="46" borderId="9" xfId="0" applyFont="1" applyFill="1" applyBorder="1" applyAlignment="1">
      <alignment horizontal="left" vertical="center"/>
    </xf>
    <xf numFmtId="174" fontId="85" fillId="46" borderId="9" xfId="0" applyNumberFormat="1" applyFont="1" applyFill="1" applyBorder="1" applyAlignment="1">
      <alignment horizontal="center" vertical="center"/>
    </xf>
    <xf numFmtId="174" fontId="85" fillId="46" borderId="0" xfId="0" applyNumberFormat="1" applyFont="1" applyFill="1" applyBorder="1" applyAlignment="1">
      <alignment horizontal="center"/>
    </xf>
    <xf numFmtId="0" fontId="16" fillId="0" borderId="9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64" fontId="17" fillId="40" borderId="2" xfId="0" applyNumberFormat="1" applyFont="1" applyFill="1" applyBorder="1" applyAlignment="1">
      <alignment horizontal="right" vertical="center"/>
    </xf>
    <xf numFmtId="164" fontId="43" fillId="0" borderId="9" xfId="0" applyNumberFormat="1" applyFont="1" applyBorder="1" applyAlignment="1">
      <alignment horizontal="center" vertical="center"/>
    </xf>
    <xf numFmtId="1" fontId="43" fillId="0" borderId="9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86" fillId="0" borderId="9" xfId="0" applyFont="1" applyBorder="1" applyAlignment="1">
      <alignment horizontal="left" vertical="center"/>
    </xf>
    <xf numFmtId="3" fontId="39" fillId="41" borderId="9" xfId="0" applyNumberFormat="1" applyFont="1" applyFill="1" applyBorder="1" applyAlignment="1">
      <alignment horizontal="center" vertical="center"/>
    </xf>
    <xf numFmtId="3" fontId="10" fillId="0" borderId="9" xfId="0" applyNumberFormat="1" applyFont="1" applyBorder="1" applyAlignment="1">
      <alignment horizontal="right" vertical="center"/>
    </xf>
    <xf numFmtId="3" fontId="67" fillId="0" borderId="9" xfId="0" applyNumberFormat="1" applyFont="1" applyBorder="1" applyAlignment="1">
      <alignment horizontal="right" vertical="center"/>
    </xf>
    <xf numFmtId="3" fontId="86" fillId="0" borderId="9" xfId="0" applyNumberFormat="1" applyFont="1" applyBorder="1" applyAlignment="1">
      <alignment horizontal="right" vertical="center"/>
    </xf>
    <xf numFmtId="3" fontId="44" fillId="34" borderId="9" xfId="0" applyNumberFormat="1" applyFont="1" applyFill="1" applyBorder="1" applyAlignment="1">
      <alignment horizontal="right" vertical="center"/>
    </xf>
    <xf numFmtId="0" fontId="24" fillId="9" borderId="10" xfId="0" applyFont="1" applyFill="1" applyAlignment="1">
      <alignment horizontal="left" vertical="center" wrapText="1"/>
    </xf>
    <xf numFmtId="164" fontId="24" fillId="9" borderId="10" xfId="0" applyNumberFormat="1" applyFont="1" applyFill="1" applyAlignment="1">
      <alignment horizontal="right" vertical="center"/>
    </xf>
    <xf numFmtId="0" fontId="5" fillId="36" borderId="10" xfId="0" applyFont="1" applyFill="1" applyAlignment="1">
      <alignment horizontal="left" vertical="center" wrapText="1"/>
    </xf>
    <xf numFmtId="0" fontId="24" fillId="34" borderId="10" xfId="0" applyFont="1" applyFill="1" applyAlignment="1">
      <alignment horizontal="left" vertical="center" wrapText="1"/>
    </xf>
    <xf numFmtId="0" fontId="24" fillId="34" borderId="2" xfId="0" applyFont="1" applyFill="1" applyBorder="1" applyAlignment="1">
      <alignment horizontal="left" vertical="center" wrapText="1"/>
    </xf>
    <xf numFmtId="166" fontId="24" fillId="36" borderId="10" xfId="0" applyNumberFormat="1" applyFont="1" applyFill="1" applyAlignment="1">
      <alignment horizontal="right" vertical="center"/>
    </xf>
    <xf numFmtId="164" fontId="24" fillId="34" borderId="10" xfId="0" applyNumberFormat="1" applyFont="1" applyFill="1" applyAlignment="1">
      <alignment horizontal="right" vertical="center"/>
    </xf>
    <xf numFmtId="166" fontId="24" fillId="34" borderId="10" xfId="0" applyNumberFormat="1" applyFont="1" applyFill="1" applyAlignment="1">
      <alignment horizontal="right" vertical="center"/>
    </xf>
    <xf numFmtId="166" fontId="87" fillId="34" borderId="2" xfId="0" applyNumberFormat="1" applyFont="1" applyFill="1" applyBorder="1" applyAlignment="1">
      <alignment horizontal="right" vertical="center"/>
    </xf>
    <xf numFmtId="166" fontId="87" fillId="34" borderId="0" xfId="0" applyNumberFormat="1" applyFont="1" applyFill="1" applyBorder="1" applyAlignment="1">
      <alignment horizontal="right"/>
    </xf>
    <xf numFmtId="0" fontId="88" fillId="0" borderId="0" xfId="0" applyFont="1" applyBorder="1"/>
    <xf numFmtId="9" fontId="70" fillId="0" borderId="0" xfId="0" applyNumberFormat="1" applyFont="1" applyBorder="1"/>
    <xf numFmtId="0" fontId="5" fillId="36" borderId="9" xfId="0" applyFont="1" applyFill="1" applyBorder="1" applyAlignment="1">
      <alignment horizontal="left" vertical="center" wrapText="1"/>
    </xf>
    <xf numFmtId="0" fontId="5" fillId="36" borderId="9" xfId="0" applyFont="1" applyFill="1" applyBorder="1" applyAlignment="1">
      <alignment horizontal="right" vertical="center"/>
    </xf>
    <xf numFmtId="3" fontId="6" fillId="36" borderId="9" xfId="0" applyNumberFormat="1" applyFont="1" applyFill="1" applyBorder="1" applyAlignment="1">
      <alignment horizontal="right" vertical="center"/>
    </xf>
    <xf numFmtId="0" fontId="89" fillId="14" borderId="9" xfId="0" applyFont="1" applyFill="1" applyBorder="1" applyAlignment="1">
      <alignment horizontal="left" vertical="center"/>
    </xf>
    <xf numFmtId="3" fontId="86" fillId="14" borderId="9" xfId="0" applyNumberFormat="1" applyFont="1" applyFill="1" applyBorder="1" applyAlignment="1">
      <alignment horizontal="right" vertical="center"/>
    </xf>
    <xf numFmtId="9" fontId="65" fillId="0" borderId="0" xfId="2" applyFont="1" applyBorder="1" applyAlignment="1">
      <alignment horizontal="right" vertical="center"/>
    </xf>
    <xf numFmtId="0" fontId="90" fillId="0" borderId="0" xfId="0" applyFont="1" applyBorder="1" applyAlignment="1">
      <alignment horizontal="left" vertical="center"/>
    </xf>
    <xf numFmtId="0" fontId="91" fillId="0" borderId="0" xfId="0" applyFont="1" applyBorder="1"/>
    <xf numFmtId="173" fontId="92" fillId="0" borderId="10" xfId="1" applyNumberFormat="1" applyFont="1"/>
    <xf numFmtId="0" fontId="93" fillId="0" borderId="0" xfId="0" applyFont="1" applyBorder="1" applyAlignment="1">
      <alignment horizontal="left" vertical="center"/>
    </xf>
    <xf numFmtId="0" fontId="93" fillId="0" borderId="0" xfId="0" applyFont="1" applyBorder="1" applyAlignment="1">
      <alignment horizontal="center" vertical="center"/>
    </xf>
    <xf numFmtId="3" fontId="93" fillId="0" borderId="0" xfId="0" applyNumberFormat="1" applyFont="1" applyBorder="1" applyAlignment="1">
      <alignment horizontal="right" vertical="center"/>
    </xf>
    <xf numFmtId="10" fontId="65" fillId="0" borderId="0" xfId="0" applyNumberFormat="1" applyFont="1" applyBorder="1" applyAlignment="1">
      <alignment horizontal="right" vertical="center"/>
    </xf>
    <xf numFmtId="0" fontId="94" fillId="0" borderId="0" xfId="0" applyFont="1" applyBorder="1"/>
    <xf numFmtId="0" fontId="0" fillId="36" borderId="0" xfId="0" applyFill="1" applyBorder="1"/>
    <xf numFmtId="0" fontId="95" fillId="41" borderId="0" xfId="0" applyFont="1" applyFill="1" applyBorder="1"/>
    <xf numFmtId="0" fontId="56" fillId="0" borderId="8" xfId="0" applyFont="1" applyBorder="1"/>
    <xf numFmtId="0" fontId="96" fillId="0" borderId="8" xfId="0" applyFont="1" applyBorder="1"/>
    <xf numFmtId="0" fontId="69" fillId="34" borderId="8" xfId="0" applyFont="1" applyFill="1" applyBorder="1"/>
    <xf numFmtId="0" fontId="96" fillId="0" borderId="11" xfId="0" applyFont="1" applyBorder="1"/>
    <xf numFmtId="0" fontId="95" fillId="41" borderId="20" xfId="0" applyFont="1" applyFill="1" applyBorder="1"/>
    <xf numFmtId="0" fontId="95" fillId="41" borderId="12" xfId="0" applyFont="1" applyFill="1" applyBorder="1"/>
    <xf numFmtId="0" fontId="95" fillId="41" borderId="21" xfId="0" applyFont="1" applyFill="1" applyBorder="1"/>
    <xf numFmtId="0" fontId="56" fillId="0" borderId="7" xfId="0" applyFont="1" applyBorder="1"/>
    <xf numFmtId="3" fontId="21" fillId="0" borderId="9" xfId="0" applyNumberFormat="1" applyFont="1" applyBorder="1" applyAlignment="1">
      <alignment horizontal="right"/>
    </xf>
    <xf numFmtId="0" fontId="96" fillId="0" borderId="17" xfId="0" applyFont="1" applyBorder="1"/>
    <xf numFmtId="0" fontId="69" fillId="34" borderId="7" xfId="0" applyFont="1" applyFill="1" applyBorder="1"/>
    <xf numFmtId="3" fontId="44" fillId="34" borderId="9" xfId="0" applyNumberFormat="1" applyFont="1" applyFill="1" applyBorder="1" applyAlignment="1">
      <alignment horizontal="right"/>
    </xf>
    <xf numFmtId="0" fontId="96" fillId="34" borderId="17" xfId="0" applyFont="1" applyFill="1" applyBorder="1"/>
    <xf numFmtId="0" fontId="17" fillId="0" borderId="9" xfId="0" applyFont="1" applyBorder="1" applyAlignment="1">
      <alignment horizontal="right"/>
    </xf>
    <xf numFmtId="0" fontId="39" fillId="33" borderId="7" xfId="0" applyFont="1" applyFill="1" applyBorder="1"/>
    <xf numFmtId="0" fontId="17" fillId="33" borderId="9" xfId="0" applyFont="1" applyFill="1" applyBorder="1" applyAlignment="1">
      <alignment horizontal="right"/>
    </xf>
    <xf numFmtId="0" fontId="96" fillId="33" borderId="17" xfId="0" applyFont="1" applyFill="1" applyBorder="1"/>
    <xf numFmtId="164" fontId="17" fillId="40" borderId="9" xfId="0" applyNumberFormat="1" applyFont="1" applyFill="1" applyBorder="1" applyAlignment="1">
      <alignment horizontal="right"/>
    </xf>
    <xf numFmtId="0" fontId="39" fillId="50" borderId="7" xfId="0" applyFont="1" applyFill="1" applyBorder="1"/>
    <xf numFmtId="0" fontId="17" fillId="50" borderId="9" xfId="0" applyFont="1" applyFill="1" applyBorder="1" applyAlignment="1">
      <alignment horizontal="right"/>
    </xf>
    <xf numFmtId="0" fontId="96" fillId="50" borderId="17" xfId="0" applyFont="1" applyFill="1" applyBorder="1"/>
    <xf numFmtId="168" fontId="17" fillId="40" borderId="9" xfId="0" applyNumberFormat="1" applyFont="1" applyFill="1" applyBorder="1" applyAlignment="1">
      <alignment horizontal="right"/>
    </xf>
    <xf numFmtId="0" fontId="56" fillId="0" borderId="22" xfId="0" applyFont="1" applyBorder="1"/>
    <xf numFmtId="1" fontId="17" fillId="40" borderId="13" xfId="0" applyNumberFormat="1" applyFont="1" applyFill="1" applyBorder="1" applyAlignment="1">
      <alignment horizontal="right"/>
    </xf>
    <xf numFmtId="0" fontId="96" fillId="0" borderId="18" xfId="0" applyFont="1" applyBorder="1"/>
    <xf numFmtId="0" fontId="95" fillId="33" borderId="19" xfId="0" applyFont="1" applyFill="1" applyBorder="1"/>
    <xf numFmtId="0" fontId="97" fillId="33" borderId="8" xfId="0" applyFont="1" applyFill="1" applyBorder="1" applyAlignment="1">
      <alignment horizontal="left"/>
    </xf>
    <xf numFmtId="0" fontId="97" fillId="33" borderId="8" xfId="0" applyFont="1" applyFill="1" applyBorder="1" applyAlignment="1">
      <alignment horizontal="center"/>
    </xf>
    <xf numFmtId="166" fontId="0" fillId="0" borderId="8" xfId="0" applyNumberFormat="1" applyBorder="1"/>
    <xf numFmtId="166" fontId="73" fillId="0" borderId="8" xfId="0" applyNumberFormat="1" applyFont="1" applyBorder="1"/>
    <xf numFmtId="166" fontId="62" fillId="34" borderId="8" xfId="0" applyNumberFormat="1" applyFont="1" applyFill="1" applyBorder="1"/>
    <xf numFmtId="166" fontId="77" fillId="34" borderId="8" xfId="0" applyNumberFormat="1" applyFont="1" applyFill="1" applyBorder="1"/>
    <xf numFmtId="0" fontId="69" fillId="35" borderId="8" xfId="0" applyFont="1" applyFill="1" applyBorder="1"/>
    <xf numFmtId="166" fontId="62" fillId="35" borderId="8" xfId="0" applyNumberFormat="1" applyFont="1" applyFill="1" applyBorder="1"/>
    <xf numFmtId="0" fontId="69" fillId="35" borderId="11" xfId="0" applyFont="1" applyFill="1" applyBorder="1"/>
    <xf numFmtId="166" fontId="62" fillId="35" borderId="11" xfId="0" applyNumberFormat="1" applyFont="1" applyFill="1" applyBorder="1"/>
    <xf numFmtId="0" fontId="0" fillId="0" borderId="11" xfId="0" applyBorder="1"/>
    <xf numFmtId="0" fontId="95" fillId="50" borderId="19" xfId="0" applyFont="1" applyFill="1" applyBorder="1"/>
    <xf numFmtId="0" fontId="97" fillId="50" borderId="8" xfId="0" applyFont="1" applyFill="1" applyBorder="1" applyAlignment="1">
      <alignment horizontal="left"/>
    </xf>
    <xf numFmtId="0" fontId="97" fillId="50" borderId="8" xfId="0" applyFont="1" applyFill="1" applyBorder="1" applyAlignment="1">
      <alignment horizontal="center"/>
    </xf>
    <xf numFmtId="3" fontId="62" fillId="34" borderId="8" xfId="0" applyNumberFormat="1" applyFont="1" applyFill="1" applyBorder="1"/>
    <xf numFmtId="164" fontId="62" fillId="35" borderId="8" xfId="0" applyNumberFormat="1" applyFont="1" applyFill="1" applyBorder="1"/>
    <xf numFmtId="1" fontId="62" fillId="35" borderId="11" xfId="0" applyNumberFormat="1" applyFont="1" applyFill="1" applyBorder="1"/>
    <xf numFmtId="0" fontId="69" fillId="32" borderId="8" xfId="0" applyFont="1" applyFill="1" applyBorder="1"/>
    <xf numFmtId="0" fontId="56" fillId="32" borderId="8" xfId="0" applyFont="1" applyFill="1" applyBorder="1" applyAlignment="1">
      <alignment horizontal="right"/>
    </xf>
    <xf numFmtId="0" fontId="97" fillId="41" borderId="7" xfId="0" applyFont="1" applyFill="1" applyBorder="1"/>
    <xf numFmtId="0" fontId="97" fillId="41" borderId="9" xfId="0" applyFont="1" applyFill="1" applyBorder="1"/>
    <xf numFmtId="0" fontId="97" fillId="41" borderId="17" xfId="0" applyFont="1" applyFill="1" applyBorder="1"/>
    <xf numFmtId="3" fontId="56" fillId="0" borderId="9" xfId="0" applyNumberFormat="1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164" fontId="56" fillId="0" borderId="9" xfId="0" applyNumberFormat="1" applyFont="1" applyBorder="1" applyAlignment="1">
      <alignment horizontal="right"/>
    </xf>
    <xf numFmtId="9" fontId="56" fillId="0" borderId="9" xfId="0" applyNumberFormat="1" applyFont="1" applyBorder="1" applyAlignment="1">
      <alignment horizontal="right"/>
    </xf>
    <xf numFmtId="0" fontId="56" fillId="0" borderId="9" xfId="0" applyFont="1" applyBorder="1" applyAlignment="1">
      <alignment horizontal="right"/>
    </xf>
    <xf numFmtId="0" fontId="69" fillId="32" borderId="7" xfId="0" applyFont="1" applyFill="1" applyBorder="1"/>
    <xf numFmtId="0" fontId="56" fillId="32" borderId="9" xfId="0" applyFont="1" applyFill="1" applyBorder="1" applyAlignment="1">
      <alignment horizontal="right"/>
    </xf>
    <xf numFmtId="0" fontId="15" fillId="32" borderId="17" xfId="0" applyFont="1" applyFill="1" applyBorder="1" applyAlignment="1">
      <alignment horizontal="right"/>
    </xf>
    <xf numFmtId="166" fontId="56" fillId="0" borderId="9" xfId="0" applyNumberFormat="1" applyFont="1" applyBorder="1" applyAlignment="1">
      <alignment horizontal="right"/>
    </xf>
    <xf numFmtId="1" fontId="56" fillId="0" borderId="9" xfId="0" applyNumberFormat="1" applyFont="1" applyBorder="1" applyAlignment="1">
      <alignment horizontal="right"/>
    </xf>
    <xf numFmtId="0" fontId="56" fillId="0" borderId="13" xfId="0" applyFont="1" applyBorder="1" applyAlignment="1">
      <alignment horizontal="right"/>
    </xf>
    <xf numFmtId="0" fontId="15" fillId="0" borderId="18" xfId="0" applyFont="1" applyBorder="1" applyAlignment="1">
      <alignment horizontal="right"/>
    </xf>
    <xf numFmtId="0" fontId="0" fillId="41" borderId="0" xfId="0" applyFill="1" applyBorder="1"/>
    <xf numFmtId="0" fontId="8" fillId="41" borderId="20" xfId="0" applyFont="1" applyFill="1" applyBorder="1"/>
    <xf numFmtId="0" fontId="0" fillId="41" borderId="12" xfId="0" applyFill="1" applyBorder="1"/>
    <xf numFmtId="0" fontId="0" fillId="41" borderId="21" xfId="0" applyFill="1" applyBorder="1"/>
    <xf numFmtId="0" fontId="10" fillId="0" borderId="7" xfId="0" applyFont="1" applyBorder="1"/>
    <xf numFmtId="3" fontId="17" fillId="40" borderId="9" xfId="0" applyNumberFormat="1" applyFont="1" applyFill="1" applyBorder="1" applyAlignment="1">
      <alignment horizontal="right"/>
    </xf>
    <xf numFmtId="0" fontId="0" fillId="0" borderId="9" xfId="0" applyBorder="1"/>
    <xf numFmtId="0" fontId="0" fillId="0" borderId="17" xfId="0" applyBorder="1"/>
    <xf numFmtId="0" fontId="44" fillId="32" borderId="7" xfId="0" applyFont="1" applyFill="1" applyBorder="1"/>
    <xf numFmtId="0" fontId="0" fillId="32" borderId="9" xfId="0" applyFill="1" applyBorder="1"/>
    <xf numFmtId="0" fontId="0" fillId="32" borderId="17" xfId="0" applyFill="1" applyBorder="1"/>
    <xf numFmtId="166" fontId="10" fillId="0" borderId="9" xfId="0" applyNumberFormat="1" applyFont="1" applyBorder="1" applyAlignment="1">
      <alignment horizontal="right"/>
    </xf>
    <xf numFmtId="166" fontId="56" fillId="0" borderId="9" xfId="0" applyNumberFormat="1" applyFont="1" applyBorder="1"/>
    <xf numFmtId="166" fontId="10" fillId="0" borderId="17" xfId="0" applyNumberFormat="1" applyFont="1" applyBorder="1" applyAlignment="1">
      <alignment horizontal="right"/>
    </xf>
    <xf numFmtId="166" fontId="56" fillId="0" borderId="17" xfId="0" applyNumberFormat="1" applyFont="1" applyBorder="1"/>
    <xf numFmtId="0" fontId="44" fillId="0" borderId="7" xfId="0" applyFont="1" applyBorder="1"/>
    <xf numFmtId="166" fontId="44" fillId="0" borderId="9" xfId="0" applyNumberFormat="1" applyFont="1" applyBorder="1" applyAlignment="1">
      <alignment horizontal="right"/>
    </xf>
    <xf numFmtId="166" fontId="69" fillId="0" borderId="9" xfId="0" applyNumberFormat="1" applyFont="1" applyBorder="1"/>
    <xf numFmtId="166" fontId="69" fillId="0" borderId="17" xfId="0" applyNumberFormat="1" applyFont="1" applyBorder="1"/>
    <xf numFmtId="0" fontId="21" fillId="0" borderId="7" xfId="0" applyFont="1" applyBorder="1"/>
    <xf numFmtId="166" fontId="21" fillId="0" borderId="9" xfId="0" applyNumberFormat="1" applyFont="1" applyBorder="1" applyAlignment="1">
      <alignment horizontal="right"/>
    </xf>
    <xf numFmtId="166" fontId="21" fillId="0" borderId="17" xfId="0" applyNumberFormat="1" applyFont="1" applyBorder="1" applyAlignment="1">
      <alignment horizontal="right"/>
    </xf>
    <xf numFmtId="0" fontId="44" fillId="35" borderId="7" xfId="0" applyFont="1" applyFill="1" applyBorder="1"/>
    <xf numFmtId="166" fontId="44" fillId="35" borderId="9" xfId="0" applyNumberFormat="1" applyFont="1" applyFill="1" applyBorder="1" applyAlignment="1">
      <alignment horizontal="right"/>
    </xf>
    <xf numFmtId="0" fontId="98" fillId="0" borderId="7" xfId="0" applyFont="1" applyBorder="1"/>
    <xf numFmtId="166" fontId="98" fillId="0" borderId="9" xfId="0" applyNumberFormat="1" applyFont="1" applyBorder="1" applyAlignment="1">
      <alignment horizontal="right"/>
    </xf>
    <xf numFmtId="166" fontId="98" fillId="0" borderId="9" xfId="0" applyNumberFormat="1" applyFont="1" applyBorder="1"/>
    <xf numFmtId="166" fontId="98" fillId="0" borderId="17" xfId="0" applyNumberFormat="1" applyFont="1" applyBorder="1"/>
    <xf numFmtId="166" fontId="69" fillId="0" borderId="9" xfId="0" applyNumberFormat="1" applyFont="1" applyBorder="1" applyAlignment="1">
      <alignment horizontal="right"/>
    </xf>
    <xf numFmtId="0" fontId="87" fillId="32" borderId="19" xfId="0" applyFont="1" applyFill="1" applyBorder="1"/>
    <xf numFmtId="0" fontId="0" fillId="32" borderId="19" xfId="0" applyFill="1" applyBorder="1"/>
    <xf numFmtId="168" fontId="0" fillId="0" borderId="8" xfId="0" applyNumberFormat="1" applyBorder="1"/>
    <xf numFmtId="1" fontId="0" fillId="0" borderId="8" xfId="0" applyNumberFormat="1" applyBorder="1"/>
    <xf numFmtId="0" fontId="62" fillId="35" borderId="11" xfId="0" applyFont="1" applyFill="1" applyBorder="1"/>
    <xf numFmtId="168" fontId="62" fillId="35" borderId="11" xfId="0" applyNumberFormat="1" applyFont="1" applyFill="1" applyBorder="1"/>
    <xf numFmtId="0" fontId="62" fillId="0" borderId="8" xfId="0" applyFont="1" applyBorder="1"/>
    <xf numFmtId="0" fontId="87" fillId="32" borderId="20" xfId="0" applyFont="1" applyFill="1" applyBorder="1"/>
    <xf numFmtId="0" fontId="0" fillId="32" borderId="12" xfId="0" applyFill="1" applyBorder="1"/>
    <xf numFmtId="0" fontId="0" fillId="32" borderId="21" xfId="0" applyFill="1" applyBorder="1"/>
    <xf numFmtId="0" fontId="95" fillId="33" borderId="7" xfId="0" applyFont="1" applyFill="1" applyBorder="1"/>
    <xf numFmtId="0" fontId="95" fillId="33" borderId="9" xfId="0" applyFont="1" applyFill="1" applyBorder="1" applyAlignment="1">
      <alignment horizontal="center"/>
    </xf>
    <xf numFmtId="175" fontId="95" fillId="33" borderId="9" xfId="0" applyNumberFormat="1" applyFont="1" applyFill="1" applyBorder="1" applyAlignment="1">
      <alignment horizontal="center"/>
    </xf>
    <xf numFmtId="0" fontId="95" fillId="33" borderId="17" xfId="0" applyFont="1" applyFill="1" applyBorder="1" applyAlignment="1">
      <alignment horizontal="center"/>
    </xf>
    <xf numFmtId="0" fontId="62" fillId="0" borderId="7" xfId="0" applyFont="1" applyBorder="1"/>
    <xf numFmtId="168" fontId="0" fillId="0" borderId="9" xfId="0" applyNumberFormat="1" applyBorder="1" applyAlignment="1">
      <alignment horizontal="center"/>
    </xf>
    <xf numFmtId="168" fontId="62" fillId="47" borderId="9" xfId="0" applyNumberFormat="1" applyFont="1" applyFill="1" applyBorder="1" applyAlignment="1">
      <alignment horizontal="center"/>
    </xf>
    <xf numFmtId="168" fontId="0" fillId="0" borderId="17" xfId="0" applyNumberFormat="1" applyBorder="1" applyAlignment="1">
      <alignment horizontal="center"/>
    </xf>
    <xf numFmtId="168" fontId="62" fillId="35" borderId="8" xfId="0" applyNumberFormat="1" applyFont="1" applyFill="1" applyBorder="1" applyAlignment="1">
      <alignment horizontal="center"/>
    </xf>
    <xf numFmtId="0" fontId="62" fillId="35" borderId="8" xfId="0" applyFont="1" applyFill="1" applyBorder="1" applyAlignment="1">
      <alignment horizontal="center"/>
    </xf>
    <xf numFmtId="1" fontId="62" fillId="35" borderId="8" xfId="0" applyNumberFormat="1" applyFont="1" applyFill="1" applyBorder="1" applyAlignment="1">
      <alignment horizontal="center"/>
    </xf>
    <xf numFmtId="0" fontId="99" fillId="0" borderId="8" xfId="0" applyFont="1" applyBorder="1"/>
    <xf numFmtId="0" fontId="77" fillId="0" borderId="11" xfId="0" applyFont="1" applyBorder="1"/>
    <xf numFmtId="168" fontId="77" fillId="43" borderId="11" xfId="0" applyNumberFormat="1" applyFont="1" applyFill="1" applyBorder="1" applyAlignment="1">
      <alignment horizontal="center"/>
    </xf>
    <xf numFmtId="0" fontId="100" fillId="0" borderId="11" xfId="0" applyFont="1" applyBorder="1"/>
    <xf numFmtId="0" fontId="15" fillId="0" borderId="10" xfId="0" applyFont="1" applyAlignment="1">
      <alignment horizontal="right"/>
    </xf>
    <xf numFmtId="166" fontId="69" fillId="35" borderId="8" xfId="0" applyNumberFormat="1" applyFont="1" applyFill="1" applyBorder="1" applyAlignment="1">
      <alignment horizontal="right"/>
    </xf>
    <xf numFmtId="0" fontId="69" fillId="32" borderId="23" xfId="0" applyFont="1" applyFill="1" applyBorder="1"/>
    <xf numFmtId="0" fontId="56" fillId="32" borderId="23" xfId="0" applyFont="1" applyFill="1" applyBorder="1" applyAlignment="1">
      <alignment horizontal="right"/>
    </xf>
    <xf numFmtId="9" fontId="56" fillId="32" borderId="8" xfId="0" applyNumberFormat="1" applyFont="1" applyFill="1" applyBorder="1" applyAlignment="1">
      <alignment horizontal="right"/>
    </xf>
    <xf numFmtId="166" fontId="56" fillId="32" borderId="8" xfId="0" applyNumberFormat="1" applyFont="1" applyFill="1" applyBorder="1" applyAlignment="1">
      <alignment horizontal="right"/>
    </xf>
    <xf numFmtId="166" fontId="69" fillId="35" borderId="11" xfId="0" applyNumberFormat="1" applyFont="1" applyFill="1" applyBorder="1" applyAlignment="1">
      <alignment horizontal="right"/>
    </xf>
    <xf numFmtId="0" fontId="101" fillId="43" borderId="24" xfId="0" applyFont="1" applyFill="1" applyBorder="1"/>
    <xf numFmtId="166" fontId="69" fillId="43" borderId="24" xfId="0" applyNumberFormat="1" applyFont="1" applyFill="1" applyBorder="1" applyAlignment="1">
      <alignment horizontal="right"/>
    </xf>
    <xf numFmtId="176" fontId="101" fillId="43" borderId="24" xfId="0" applyNumberFormat="1" applyFont="1" applyFill="1" applyBorder="1" applyAlignment="1">
      <alignment horizontal="right"/>
    </xf>
    <xf numFmtId="0" fontId="102" fillId="0" borderId="0" xfId="0" applyFont="1" applyBorder="1"/>
    <xf numFmtId="0" fontId="102" fillId="41" borderId="12" xfId="0" applyFont="1" applyFill="1" applyBorder="1"/>
    <xf numFmtId="0" fontId="5" fillId="0" borderId="0" xfId="0" applyFont="1" applyBorder="1" applyAlignment="1">
      <alignment horizontal="left" vertical="center" wrapText="1"/>
    </xf>
    <xf numFmtId="164" fontId="79" fillId="51" borderId="9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left" vertical="center" wrapText="1"/>
    </xf>
    <xf numFmtId="0" fontId="2" fillId="2" borderId="10" xfId="0" applyFont="1" applyFill="1" applyAlignment="1">
      <alignment horizontal="left" vertical="center"/>
    </xf>
    <xf numFmtId="0" fontId="0" fillId="0" borderId="0" xfId="0" applyBorder="1"/>
    <xf numFmtId="0" fontId="3" fillId="0" borderId="10" xfId="0" applyFont="1" applyAlignment="1">
      <alignment horizontal="left" vertical="center" wrapText="1"/>
    </xf>
    <xf numFmtId="0" fontId="27" fillId="8" borderId="9" xfId="0" applyFont="1" applyFill="1" applyBorder="1" applyAlignment="1">
      <alignment horizontal="left" vertical="center"/>
    </xf>
    <xf numFmtId="0" fontId="0" fillId="0" borderId="8" xfId="0" applyBorder="1"/>
    <xf numFmtId="0" fontId="0" fillId="0" borderId="7" xfId="0" applyBorder="1"/>
    <xf numFmtId="0" fontId="16" fillId="0" borderId="9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2E7D32"/>
      </font>
    </dxf>
    <dxf>
      <font>
        <color rgb="FFD32F2F"/>
      </font>
    </dxf>
    <dxf>
      <font>
        <color rgb="FF2E7D32"/>
      </font>
    </dxf>
    <dxf>
      <font>
        <color rgb="FFD32F2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FFDE7"/>
      <rgbColor rgb="FFC00000"/>
      <rgbColor rgb="FF008000"/>
      <rgbColor rgb="FF000080"/>
      <rgbColor rgb="FF548235"/>
      <rgbColor rgb="FF800080"/>
      <rgbColor rgb="FF0D7377"/>
      <rgbColor rgb="FFD6E4F0"/>
      <rgbColor rgb="FF808080"/>
      <rgbColor rgb="FFE8F0FE"/>
      <rgbColor rgb="FF7030A0"/>
      <rgbColor rgb="FFFFFFCC"/>
      <rgbColor rgb="FFE3F2FD"/>
      <rgbColor rgb="FF660066"/>
      <rgbColor rgb="FFED7D31"/>
      <rgbColor rgb="FF0D47A1"/>
      <rgbColor rgb="FFD0D0D0"/>
      <rgbColor rgb="FF000080"/>
      <rgbColor rgb="FFFF00FF"/>
      <rgbColor rgb="FFFFF8E1"/>
      <rgbColor rgb="FFFFEBEE"/>
      <rgbColor rgb="FF800080"/>
      <rgbColor rgb="FFE65100"/>
      <rgbColor rgb="FF1F4E79"/>
      <rgbColor rgb="FF0000FF"/>
      <rgbColor rgb="FF00CCFF"/>
      <rgbColor rgb="FFE8F6F3"/>
      <rgbColor rgb="FFC8E6C9"/>
      <rgbColor rgb="FFFFF2CC"/>
      <rgbColor rgb="FFEDE7F6"/>
      <rgbColor rgb="FFFCE4EC"/>
      <rgbColor rgb="FFF3E5F5"/>
      <rgbColor rgb="FFFFCDD2"/>
      <rgbColor rgb="FF4472C4"/>
      <rgbColor rgb="FFECEFF1"/>
      <rgbColor rgb="FFE8F5E9"/>
      <rgbColor rgb="FFFFF3E0"/>
      <rgbColor rgb="FFBF8F00"/>
      <rgbColor rgb="FFFF6600"/>
      <rgbColor rgb="FF666666"/>
      <rgbColor rgb="FF999999"/>
      <rgbColor rgb="FF002060"/>
      <rgbColor rgb="FF00B050"/>
      <rgbColor rgb="FF003300"/>
      <rgbColor rgb="FF375623"/>
      <rgbColor rgb="FF833C0B"/>
      <rgbColor rgb="FF555555"/>
      <rgbColor rgb="FF2F5496"/>
      <rgbColor rgb="FF1A3C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58"/>
  <sheetViews>
    <sheetView tabSelected="1" topLeftCell="A5" zoomScale="222" zoomScaleNormal="100" workbookViewId="0">
      <selection activeCell="B28" sqref="B28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15.33203125" customWidth="1"/>
    <col min="4" max="9" width="14" customWidth="1"/>
    <col min="10" max="10" width="10.1640625" customWidth="1"/>
    <col min="11" max="12" width="12" customWidth="1"/>
    <col min="13" max="13" width="14" customWidth="1"/>
    <col min="14" max="17" width="10" customWidth="1"/>
    <col min="18" max="18" width="14" customWidth="1"/>
  </cols>
  <sheetData>
    <row r="1" spans="1:17" ht="27.75" customHeight="1" x14ac:dyDescent="0.2">
      <c r="A1" s="677" t="s">
        <v>0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</row>
    <row r="2" spans="1:17" ht="15" customHeight="1" x14ac:dyDescent="0.2">
      <c r="A2" s="679" t="str">
        <f>IF(Assumptions!B5=1,"Scenario: 620 sqm (Base)","Scenario: 450 sqm (Compact)")</f>
        <v>Scenario: 620 sqm (Base)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8"/>
      <c r="P2" s="678"/>
    </row>
    <row r="4" spans="1:17" ht="15" customHeight="1" x14ac:dyDescent="0.2">
      <c r="A4" s="1" t="s">
        <v>1</v>
      </c>
      <c r="B4" s="1"/>
      <c r="C4" s="1"/>
      <c r="D4" s="1"/>
      <c r="E4" s="1"/>
      <c r="F4" s="140" t="s">
        <v>2</v>
      </c>
      <c r="G4" s="179"/>
      <c r="H4" s="179"/>
      <c r="I4" s="161"/>
      <c r="J4" s="179"/>
      <c r="K4" s="179"/>
      <c r="L4" s="179"/>
      <c r="M4" s="180"/>
    </row>
    <row r="5" spans="1:17" ht="15" customHeight="1" x14ac:dyDescent="0.2">
      <c r="A5" s="210" t="s">
        <v>3</v>
      </c>
      <c r="B5" s="2">
        <f>Assumptions!D9</f>
        <v>620</v>
      </c>
      <c r="C5" s="3"/>
      <c r="D5" s="3"/>
      <c r="E5" s="3"/>
      <c r="F5" s="162">
        <f>'Cash Flow &amp; DCF'!C21</f>
        <v>0.34484328627586358</v>
      </c>
      <c r="G5" s="163">
        <v>0.7</v>
      </c>
      <c r="H5" s="163">
        <v>0.8</v>
      </c>
      <c r="I5" s="163">
        <v>0.9</v>
      </c>
      <c r="J5" s="164">
        <v>1</v>
      </c>
      <c r="K5" s="163">
        <v>1.1000000000000001</v>
      </c>
      <c r="L5" s="163">
        <v>1.2</v>
      </c>
      <c r="M5" s="163">
        <v>1.3</v>
      </c>
    </row>
    <row r="6" spans="1:17" ht="15" customHeight="1" x14ac:dyDescent="0.2">
      <c r="A6" s="210" t="s">
        <v>4</v>
      </c>
      <c r="B6" s="4">
        <f>Assumptions!B47</f>
        <v>0.04</v>
      </c>
      <c r="C6" s="3"/>
      <c r="D6" s="3"/>
      <c r="E6" s="3"/>
      <c r="F6" s="163">
        <v>0.7</v>
      </c>
      <c r="G6" s="211">
        <f t="shared" ref="G6:M6" si="0">$F$5*($F$6^1.8)/G$5</f>
        <v>0.25923892219709738</v>
      </c>
      <c r="H6" s="211">
        <f t="shared" si="0"/>
        <v>0.2268340569224602</v>
      </c>
      <c r="I6" s="211">
        <f t="shared" si="0"/>
        <v>0.20163027281996462</v>
      </c>
      <c r="J6" s="211">
        <f t="shared" si="0"/>
        <v>0.18146724553796817</v>
      </c>
      <c r="K6" s="211">
        <f t="shared" si="0"/>
        <v>0.1649702232163347</v>
      </c>
      <c r="L6" s="211">
        <f t="shared" si="0"/>
        <v>0.15122270461497347</v>
      </c>
      <c r="M6" s="211">
        <f t="shared" si="0"/>
        <v>0.13959018887536012</v>
      </c>
    </row>
    <row r="7" spans="1:17" ht="15" customHeight="1" x14ac:dyDescent="0.2">
      <c r="A7" s="210" t="s">
        <v>5</v>
      </c>
      <c r="B7" s="4">
        <f>Assumptions!B48</f>
        <v>0.12</v>
      </c>
      <c r="C7" s="3"/>
      <c r="D7" s="3"/>
      <c r="E7" s="3"/>
      <c r="F7" s="163">
        <v>0.8</v>
      </c>
      <c r="G7" s="211">
        <f t="shared" ref="G7:M7" si="1">$F$5*($F$7^1.8)/G$5</f>
        <v>0.32967476989769001</v>
      </c>
      <c r="H7" s="211">
        <f t="shared" si="1"/>
        <v>0.28846542366047873</v>
      </c>
      <c r="I7" s="211">
        <f t="shared" si="1"/>
        <v>0.2564137099204255</v>
      </c>
      <c r="J7" s="211">
        <f t="shared" si="1"/>
        <v>0.23077233892838298</v>
      </c>
      <c r="K7" s="211">
        <f t="shared" si="1"/>
        <v>0.20979303538943905</v>
      </c>
      <c r="L7" s="211">
        <f t="shared" si="1"/>
        <v>0.19231028244031914</v>
      </c>
      <c r="M7" s="211">
        <f t="shared" si="1"/>
        <v>0.17751718379106382</v>
      </c>
    </row>
    <row r="8" spans="1:17" ht="15" customHeight="1" x14ac:dyDescent="0.2">
      <c r="A8" s="210" t="s">
        <v>6</v>
      </c>
      <c r="B8" s="2">
        <f>CapEx!D56</f>
        <v>6572160</v>
      </c>
      <c r="C8" s="3"/>
      <c r="D8" s="3"/>
      <c r="E8" s="3"/>
      <c r="F8" s="163">
        <v>0.9</v>
      </c>
      <c r="G8" s="211">
        <f t="shared" ref="G8:M8" si="2">$F$5*($F$8^1.8)/G$5</f>
        <v>0.40753062649833238</v>
      </c>
      <c r="H8" s="211">
        <f t="shared" si="2"/>
        <v>0.35658929818604079</v>
      </c>
      <c r="I8" s="211">
        <f t="shared" si="2"/>
        <v>0.31696826505425846</v>
      </c>
      <c r="J8" s="211">
        <f t="shared" si="2"/>
        <v>0.28527143854883263</v>
      </c>
      <c r="K8" s="211">
        <f t="shared" si="2"/>
        <v>0.25933767140802966</v>
      </c>
      <c r="L8" s="211">
        <f t="shared" si="2"/>
        <v>0.23772619879069387</v>
      </c>
      <c r="M8" s="211">
        <f t="shared" si="2"/>
        <v>0.21943956811448664</v>
      </c>
    </row>
    <row r="9" spans="1:17" ht="15" customHeight="1" x14ac:dyDescent="0.2">
      <c r="A9" s="181"/>
      <c r="B9" s="3"/>
      <c r="C9" s="3"/>
      <c r="D9" s="3"/>
      <c r="E9" s="3"/>
      <c r="F9" s="165">
        <v>1</v>
      </c>
      <c r="G9" s="211">
        <f t="shared" ref="G9:M9" si="3">$F$5*($F$9^1.8)/G$5</f>
        <v>0.4926332661083766</v>
      </c>
      <c r="H9" s="211">
        <f t="shared" si="3"/>
        <v>0.43105410784482945</v>
      </c>
      <c r="I9" s="211">
        <f t="shared" si="3"/>
        <v>0.38315920697318173</v>
      </c>
      <c r="J9" s="153">
        <f t="shared" si="3"/>
        <v>0.34484328627586358</v>
      </c>
      <c r="K9" s="211">
        <f t="shared" si="3"/>
        <v>0.3134938966144214</v>
      </c>
      <c r="L9" s="211">
        <f t="shared" si="3"/>
        <v>0.28736940522988635</v>
      </c>
      <c r="M9" s="211">
        <f t="shared" si="3"/>
        <v>0.26526406636604888</v>
      </c>
    </row>
    <row r="10" spans="1:17" ht="15" customHeight="1" x14ac:dyDescent="0.2">
      <c r="A10" s="1" t="s">
        <v>7</v>
      </c>
      <c r="B10" s="1"/>
      <c r="C10" s="1"/>
      <c r="D10" s="1"/>
      <c r="E10" s="1"/>
      <c r="F10" s="163">
        <v>1.1000000000000001</v>
      </c>
      <c r="G10" s="211">
        <f t="shared" ref="G10:M10" si="4">$F$5*($F$10^1.8)/G$5</f>
        <v>0.58483124687665</v>
      </c>
      <c r="H10" s="211">
        <f t="shared" si="4"/>
        <v>0.51172734101706874</v>
      </c>
      <c r="I10" s="211">
        <f t="shared" si="4"/>
        <v>0.45486874757072776</v>
      </c>
      <c r="J10" s="211">
        <f t="shared" si="4"/>
        <v>0.40938187281365501</v>
      </c>
      <c r="K10" s="211">
        <f t="shared" si="4"/>
        <v>0.37216533892150455</v>
      </c>
      <c r="L10" s="211">
        <f t="shared" si="4"/>
        <v>0.34115156067804586</v>
      </c>
      <c r="M10" s="211">
        <f t="shared" si="4"/>
        <v>0.31490913293358075</v>
      </c>
    </row>
    <row r="11" spans="1:17" ht="15" customHeight="1" x14ac:dyDescent="0.2">
      <c r="A11" s="212" t="s">
        <v>8</v>
      </c>
      <c r="B11" s="213" t="s">
        <v>9</v>
      </c>
      <c r="C11" s="213" t="s">
        <v>10</v>
      </c>
      <c r="D11" s="3"/>
      <c r="E11" s="3"/>
      <c r="F11" s="163">
        <v>1.2</v>
      </c>
      <c r="G11" s="211">
        <f t="shared" ref="G11:M11" si="5">$F$5*($F$11^1.8)/G$5</f>
        <v>0.68399035546180054</v>
      </c>
      <c r="H11" s="211">
        <f t="shared" si="5"/>
        <v>0.59849156102907541</v>
      </c>
      <c r="I11" s="211">
        <f t="shared" si="5"/>
        <v>0.53199249869251153</v>
      </c>
      <c r="J11" s="211">
        <f t="shared" si="5"/>
        <v>0.47879324882326035</v>
      </c>
      <c r="K11" s="211">
        <f t="shared" si="5"/>
        <v>0.43526658983932753</v>
      </c>
      <c r="L11" s="211">
        <f t="shared" si="5"/>
        <v>0.39899437401938365</v>
      </c>
      <c r="M11" s="211">
        <f t="shared" si="5"/>
        <v>0.36830249909481566</v>
      </c>
    </row>
    <row r="12" spans="1:17" ht="15" customHeight="1" x14ac:dyDescent="0.2">
      <c r="A12" s="210" t="s">
        <v>11</v>
      </c>
      <c r="B12" s="2">
        <f>'Cash Flow &amp; DCF'!B20</f>
        <v>490890.01431156043</v>
      </c>
      <c r="C12" s="2">
        <f>'Cash Flow &amp; DCF'!C20</f>
        <v>15036380.179488774</v>
      </c>
      <c r="D12" s="3"/>
      <c r="E12" s="3"/>
      <c r="F12" s="163">
        <v>1.3</v>
      </c>
      <c r="G12" s="211">
        <f t="shared" ref="G12:M12" si="6">$F$5*($F$12^1.8)/G$5</f>
        <v>0.78999031914050766</v>
      </c>
      <c r="H12" s="211">
        <f t="shared" si="6"/>
        <v>0.69124152924794413</v>
      </c>
      <c r="I12" s="211">
        <f t="shared" si="6"/>
        <v>0.61443691488706143</v>
      </c>
      <c r="J12" s="211">
        <f t="shared" si="6"/>
        <v>0.55299322339835533</v>
      </c>
      <c r="K12" s="211">
        <f t="shared" si="6"/>
        <v>0.502721112180323</v>
      </c>
      <c r="L12" s="211">
        <f t="shared" si="6"/>
        <v>0.46082768616529612</v>
      </c>
      <c r="M12" s="211">
        <f t="shared" si="6"/>
        <v>0.4253794026141195</v>
      </c>
    </row>
    <row r="13" spans="1:17" ht="15" customHeight="1" x14ac:dyDescent="0.2">
      <c r="A13" s="5" t="s">
        <v>12</v>
      </c>
      <c r="B13" s="6">
        <f>'Cash Flow &amp; DCF'!B21</f>
        <v>0.12431842684745789</v>
      </c>
      <c r="C13" s="6">
        <f>'Cash Flow &amp; DCF'!C21</f>
        <v>0.34484328627586358</v>
      </c>
      <c r="D13" s="7"/>
      <c r="E13" s="7"/>
      <c r="F13" s="182"/>
      <c r="G13" s="182"/>
      <c r="H13" s="182"/>
      <c r="I13" s="182"/>
      <c r="J13" s="182"/>
      <c r="K13" s="182"/>
      <c r="L13" s="182"/>
      <c r="M13" s="183"/>
    </row>
    <row r="14" spans="1:17" ht="15" customHeight="1" x14ac:dyDescent="0.2">
      <c r="A14" s="5" t="s">
        <v>13</v>
      </c>
      <c r="B14" s="389">
        <f>'Cash Flow &amp; DCF'!B22/12</f>
        <v>4.0432371485261251</v>
      </c>
      <c r="C14" s="7"/>
      <c r="D14" s="7"/>
      <c r="E14" s="7"/>
      <c r="F14" s="286"/>
      <c r="G14" s="286"/>
      <c r="H14" s="286"/>
      <c r="I14" s="286"/>
      <c r="J14" s="182"/>
      <c r="K14" s="182"/>
      <c r="L14" s="182"/>
      <c r="M14" s="182"/>
      <c r="N14" s="182"/>
      <c r="O14" s="182"/>
      <c r="P14" s="182"/>
      <c r="Q14" s="183"/>
    </row>
    <row r="15" spans="1:17" ht="15" customHeight="1" thickBot="1" x14ac:dyDescent="0.25">
      <c r="A15" s="312" t="s">
        <v>14</v>
      </c>
      <c r="B15" s="313">
        <f>'Cash Flow &amp; DCF'!B23</f>
        <v>3912446.245873292</v>
      </c>
      <c r="C15" s="313">
        <f>'Cash Flow &amp; DCF'!C23</f>
        <v>38322063.203689337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7" ht="15" customHeight="1" thickBot="1" x14ac:dyDescent="0.25">
      <c r="A16" s="314" t="s">
        <v>15</v>
      </c>
      <c r="B16" s="315"/>
      <c r="C16" s="315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</row>
    <row r="17" spans="1:16" ht="15" customHeight="1" x14ac:dyDescent="0.2">
      <c r="A17" s="320" t="s">
        <v>16</v>
      </c>
      <c r="B17" s="318">
        <f>'Cash Flow &amp; DCF'!B32</f>
        <v>0.49443884491920476</v>
      </c>
      <c r="C17" s="318">
        <f>'Cash Flow &amp; DCF'!C32</f>
        <v>0.42758073210716252</v>
      </c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</row>
    <row r="18" spans="1:16" ht="15" customHeight="1" x14ac:dyDescent="0.2">
      <c r="A18" s="321" t="s">
        <v>17</v>
      </c>
      <c r="B18" s="319">
        <f>'Cash Flow &amp; DCF'!B31</f>
        <v>20057968.22676605</v>
      </c>
      <c r="C18" s="319">
        <f>'Cash Flow &amp; DCF'!C31</f>
        <v>37392778.605762362</v>
      </c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</row>
    <row r="19" spans="1:16" ht="15" customHeight="1" x14ac:dyDescent="0.2">
      <c r="A19" s="322" t="s">
        <v>18</v>
      </c>
      <c r="B19" s="323">
        <f>'Cash Flow &amp; DCF'!B33</f>
        <v>5.5532196053875769</v>
      </c>
      <c r="C19" s="323">
        <f>'Cash Flow &amp; DCF'!C33</f>
        <v>15.814057966952406</v>
      </c>
      <c r="D19" s="312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</row>
    <row r="20" spans="1:16" ht="15" customHeight="1" thickBot="1" x14ac:dyDescent="0.25">
      <c r="A20" s="327" t="s">
        <v>19</v>
      </c>
      <c r="B20" s="328">
        <f>'Cash Flow &amp; DCF'!B30</f>
        <v>36496647.761744015</v>
      </c>
      <c r="C20" s="328">
        <f>'Cash Flow &amp; DCF'!C30</f>
        <v>103932519.20808592</v>
      </c>
      <c r="D20" s="312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</row>
    <row r="21" spans="1:16" ht="15" customHeight="1" x14ac:dyDescent="0.2">
      <c r="A21" s="324" t="s">
        <v>20</v>
      </c>
      <c r="B21" s="325">
        <f>'Exit Valuation'!B5</f>
        <v>8</v>
      </c>
      <c r="C21" s="326"/>
      <c r="D21" s="312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/>
    </row>
    <row r="22" spans="1:16" ht="15" customHeight="1" x14ac:dyDescent="0.2">
      <c r="A22" s="316"/>
      <c r="B22" s="317"/>
      <c r="C22" s="317"/>
      <c r="D22" s="3"/>
      <c r="E22" s="3"/>
      <c r="F22" s="285"/>
      <c r="G22" s="285"/>
      <c r="H22" s="285"/>
      <c r="I22" s="285"/>
      <c r="J22" s="3"/>
      <c r="K22" s="3"/>
      <c r="L22" s="3"/>
      <c r="M22" s="3"/>
      <c r="N22" s="3"/>
      <c r="O22" s="3"/>
      <c r="P22" s="3"/>
    </row>
    <row r="23" spans="1:16" ht="15" customHeight="1" x14ac:dyDescent="0.2">
      <c r="A23" s="8" t="s">
        <v>21</v>
      </c>
      <c r="B23" s="9"/>
      <c r="C23" s="9"/>
      <c r="D23" s="9"/>
      <c r="E23" s="9"/>
      <c r="F23" s="287"/>
      <c r="G23" s="287"/>
      <c r="H23" s="287"/>
      <c r="I23" s="287"/>
      <c r="J23" s="9"/>
      <c r="K23" s="9"/>
      <c r="L23" s="9"/>
    </row>
    <row r="24" spans="1:16" ht="15" customHeight="1" x14ac:dyDescent="0.2">
      <c r="A24" s="212" t="s">
        <v>22</v>
      </c>
      <c r="B24" s="213" t="s">
        <v>23</v>
      </c>
      <c r="C24" s="213" t="s">
        <v>24</v>
      </c>
      <c r="D24" s="213" t="s">
        <v>25</v>
      </c>
      <c r="E24" s="213" t="s">
        <v>26</v>
      </c>
      <c r="F24" s="288" t="s">
        <v>27</v>
      </c>
      <c r="G24" s="288" t="s">
        <v>28</v>
      </c>
      <c r="H24" s="288" t="s">
        <v>29</v>
      </c>
      <c r="I24" s="288" t="s">
        <v>30</v>
      </c>
      <c r="J24" s="213" t="s">
        <v>31</v>
      </c>
      <c r="K24" s="213" t="s">
        <v>32</v>
      </c>
      <c r="L24" s="10"/>
    </row>
    <row r="25" spans="1:16" ht="15" customHeight="1" x14ac:dyDescent="0.2">
      <c r="A25" s="210" t="s">
        <v>33</v>
      </c>
      <c r="B25" s="2">
        <f>Revenue!B13</f>
        <v>7645200</v>
      </c>
      <c r="C25" s="2">
        <f>Revenue!C13</f>
        <v>12526800</v>
      </c>
      <c r="D25" s="2">
        <f>Revenue!D13</f>
        <v>17853538.560000002</v>
      </c>
      <c r="E25" s="2">
        <f>Revenue!E13</f>
        <v>20738217.676800005</v>
      </c>
      <c r="F25" s="289">
        <f>Revenue!F13</f>
        <v>23739471.814656001</v>
      </c>
      <c r="G25" s="289">
        <f>Revenue!G13</f>
        <v>27649897.190522887</v>
      </c>
      <c r="H25" s="289">
        <f>Revenue!H13</f>
        <v>31220228.398566611</v>
      </c>
      <c r="I25" s="289">
        <f>Revenue!I13</f>
        <v>32469037.534509283</v>
      </c>
      <c r="J25" s="2">
        <f>Revenue!J13</f>
        <v>33767799.035889655</v>
      </c>
      <c r="K25" s="2">
        <f>Revenue!K13</f>
        <v>35118510.997325234</v>
      </c>
      <c r="L25" s="3"/>
    </row>
    <row r="26" spans="1:16" ht="15" customHeight="1" x14ac:dyDescent="0.2">
      <c r="A26" s="5" t="s">
        <v>34</v>
      </c>
      <c r="B26" s="11">
        <f>'P&amp;L'!B20</f>
        <v>-321500.00000000047</v>
      </c>
      <c r="C26" s="11">
        <f>'P&amp;L'!C20</f>
        <v>1177869.241131708</v>
      </c>
      <c r="D26" s="11">
        <f>'P&amp;L'!D20</f>
        <v>2539293.4587707347</v>
      </c>
      <c r="E26" s="11">
        <f>'P&amp;L'!E20</f>
        <v>3352836.7105726223</v>
      </c>
      <c r="F26" s="290">
        <f>'P&amp;L'!F20</f>
        <v>4389966.6367954286</v>
      </c>
      <c r="G26" s="290">
        <f>'P&amp;L'!G20</f>
        <v>5630139.6646777848</v>
      </c>
      <c r="H26" s="290">
        <f>'P&amp;L'!H20</f>
        <v>6877942.7567028059</v>
      </c>
      <c r="I26" s="290">
        <f>'P&amp;L'!I20</f>
        <v>7737225.7518389653</v>
      </c>
      <c r="J26" s="11">
        <f>'P&amp;L'!J20</f>
        <v>8322215.9320968147</v>
      </c>
      <c r="K26" s="11">
        <f>'P&amp;L'!K20</f>
        <v>8926540.0555489808</v>
      </c>
      <c r="L26" s="7"/>
    </row>
    <row r="27" spans="1:16" ht="15" customHeight="1" x14ac:dyDescent="0.2">
      <c r="A27" s="5" t="s">
        <v>35</v>
      </c>
      <c r="B27" s="12">
        <f t="shared" ref="B27:K27" si="7">IF(B25&lt;&gt;0,B26/B25,0)</f>
        <v>-4.2052529691832846E-2</v>
      </c>
      <c r="C27" s="12">
        <f t="shared" si="7"/>
        <v>9.4027943379930076E-2</v>
      </c>
      <c r="D27" s="12">
        <f t="shared" si="7"/>
        <v>0.14222914131207021</v>
      </c>
      <c r="E27" s="12">
        <f t="shared" si="7"/>
        <v>0.16167429442711775</v>
      </c>
      <c r="F27" s="291">
        <f t="shared" si="7"/>
        <v>0.18492267524188141</v>
      </c>
      <c r="G27" s="291">
        <f t="shared" si="7"/>
        <v>0.20362244480994085</v>
      </c>
      <c r="H27" s="291">
        <f t="shared" si="7"/>
        <v>0.22030404995431063</v>
      </c>
      <c r="I27" s="291">
        <f t="shared" si="7"/>
        <v>0.23829550671514541</v>
      </c>
      <c r="J27" s="12">
        <f t="shared" si="7"/>
        <v>0.24645420103488708</v>
      </c>
      <c r="K27" s="12">
        <f t="shared" si="7"/>
        <v>0.25418332959016576</v>
      </c>
      <c r="L27" s="7"/>
    </row>
    <row r="28" spans="1:16" ht="15" customHeight="1" x14ac:dyDescent="0.2">
      <c r="A28" s="210" t="s">
        <v>36</v>
      </c>
      <c r="B28" s="2">
        <f>'P&amp;L'!B28</f>
        <v>-995214.28571428615</v>
      </c>
      <c r="C28" s="2">
        <f>'P&amp;L'!C28</f>
        <v>492531.00942985434</v>
      </c>
      <c r="D28" s="2">
        <f>'P&amp;L'!D28</f>
        <v>1731427.0474813688</v>
      </c>
      <c r="E28" s="2">
        <f>'P&amp;L'!E28</f>
        <v>2471751.4066210859</v>
      </c>
      <c r="F28" s="289">
        <f>'P&amp;L'!F28</f>
        <v>3415539.6394838402</v>
      </c>
      <c r="G28" s="289">
        <f>'P&amp;L'!G28</f>
        <v>4544097.0948567847</v>
      </c>
      <c r="H28" s="289">
        <f>'P&amp;L'!H28</f>
        <v>5679597.9085995536</v>
      </c>
      <c r="I28" s="289">
        <f>'P&amp;L'!I28</f>
        <v>7074625.4341734583</v>
      </c>
      <c r="J28" s="2">
        <f>'P&amp;L'!J28</f>
        <v>7606966.4982081018</v>
      </c>
      <c r="K28" s="2">
        <f>'P&amp;L'!K28</f>
        <v>8156901.4505495727</v>
      </c>
      <c r="L28" s="3"/>
    </row>
    <row r="29" spans="1:16" x14ac:dyDescent="0.2">
      <c r="A29" s="218" t="s">
        <v>37</v>
      </c>
      <c r="B29" s="219" t="str">
        <f t="shared" ref="B29:K29" si="8">IF(B27&gt;0.15,"🟢",IF(B27&gt;0,"🟡","🔴"))</f>
        <v>🔴</v>
      </c>
      <c r="C29" s="219" t="str">
        <f t="shared" si="8"/>
        <v>🟡</v>
      </c>
      <c r="D29" s="219" t="str">
        <f t="shared" si="8"/>
        <v>🟡</v>
      </c>
      <c r="E29" s="219" t="str">
        <f t="shared" si="8"/>
        <v>🟢</v>
      </c>
      <c r="F29" s="219" t="str">
        <f t="shared" si="8"/>
        <v>🟢</v>
      </c>
      <c r="G29" s="219" t="str">
        <f t="shared" si="8"/>
        <v>🟢</v>
      </c>
      <c r="H29" s="219" t="str">
        <f t="shared" si="8"/>
        <v>🟢</v>
      </c>
      <c r="I29" s="219" t="str">
        <f t="shared" si="8"/>
        <v>🟢</v>
      </c>
      <c r="J29" s="219" t="str">
        <f t="shared" si="8"/>
        <v>🟢</v>
      </c>
      <c r="K29" s="219" t="str">
        <f t="shared" si="8"/>
        <v>🟢</v>
      </c>
    </row>
    <row r="30" spans="1:16" ht="15" customHeight="1" x14ac:dyDescent="0.2">
      <c r="A30" s="13" t="s">
        <v>38</v>
      </c>
      <c r="B30" s="14" t="str">
        <f>IF(Assumptions!B6=1,"Self-Managed","External (" &amp; TEXT(Assumptions!B123,"0%") &amp; " fee)")</f>
        <v>Self-Managed</v>
      </c>
    </row>
    <row r="31" spans="1:16" ht="15" customHeight="1" x14ac:dyDescent="0.2">
      <c r="A31" s="13" t="s">
        <v>39</v>
      </c>
      <c r="B31" s="15">
        <f>B50</f>
        <v>0.16888907641487991</v>
      </c>
    </row>
    <row r="32" spans="1:16" ht="15" customHeight="1" x14ac:dyDescent="0.2">
      <c r="A32" s="222" t="s">
        <v>40</v>
      </c>
      <c r="B32" s="223">
        <f>'Patient Acquisition'!B41</f>
        <v>3690.1274255271724</v>
      </c>
      <c r="F32" s="140" t="s">
        <v>41</v>
      </c>
      <c r="G32" s="184"/>
      <c r="H32" s="184"/>
      <c r="I32" s="184"/>
    </row>
    <row r="33" spans="1:9" x14ac:dyDescent="0.2">
      <c r="F33" s="214" t="s">
        <v>42</v>
      </c>
      <c r="G33" s="215" t="s">
        <v>43</v>
      </c>
      <c r="H33" s="215" t="s">
        <v>44</v>
      </c>
      <c r="I33" s="215" t="s">
        <v>45</v>
      </c>
    </row>
    <row r="34" spans="1:9" x14ac:dyDescent="0.2">
      <c r="A34" s="140" t="s">
        <v>46</v>
      </c>
      <c r="B34" s="141"/>
      <c r="C34" s="141"/>
      <c r="D34" s="141"/>
      <c r="F34" s="216" t="s">
        <v>47</v>
      </c>
      <c r="G34" s="211">
        <f>'P&amp;L'!B21</f>
        <v>-4.2052529691832846E-2</v>
      </c>
      <c r="H34" s="150">
        <v>-0.8</v>
      </c>
      <c r="I34" s="217" t="str">
        <f>IF(G34&gt;H34,"✓","✗ DEEP LOSS")</f>
        <v>✓</v>
      </c>
    </row>
    <row r="35" spans="1:9" x14ac:dyDescent="0.2">
      <c r="A35" s="224" t="s">
        <v>48</v>
      </c>
      <c r="B35" s="225" t="s">
        <v>49</v>
      </c>
      <c r="C35" s="225" t="s">
        <v>45</v>
      </c>
      <c r="D35" s="224" t="s">
        <v>50</v>
      </c>
      <c r="F35" s="154" t="s">
        <v>51</v>
      </c>
      <c r="G35" s="155">
        <f>'P&amp;L'!D21</f>
        <v>0.14222914131207021</v>
      </c>
      <c r="H35" s="150">
        <v>0.05</v>
      </c>
      <c r="I35" s="156" t="str">
        <f>IF(G35&gt;H35,"✓","✗ NOT PROFITABLE")</f>
        <v>✓</v>
      </c>
    </row>
    <row r="36" spans="1:9" x14ac:dyDescent="0.2">
      <c r="A36" s="218" t="s">
        <v>52</v>
      </c>
      <c r="B36" s="217">
        <f>Revenue!B13-'Patient Acquisition'!B22*'Patient Acquisition'!B40</f>
        <v>0</v>
      </c>
      <c r="C36" s="219" t="str">
        <f>IF(ABS(B36)&lt;1000,"✓ OK","✗ ERROR")</f>
        <v>✓ OK</v>
      </c>
      <c r="D36" s="144" t="s">
        <v>53</v>
      </c>
      <c r="F36" s="157" t="s">
        <v>54</v>
      </c>
      <c r="G36" s="155">
        <f>'P&amp;L'!F21</f>
        <v>0.18492267524188141</v>
      </c>
      <c r="H36" s="150">
        <v>0.15</v>
      </c>
      <c r="I36" s="155" t="str">
        <f>IF(G36&gt;H36,"✓","⚠ LOW MARGIN")</f>
        <v>✓</v>
      </c>
    </row>
    <row r="37" spans="1:9" x14ac:dyDescent="0.2">
      <c r="A37" s="218" t="s">
        <v>55</v>
      </c>
      <c r="B37" s="217">
        <f>OpEx!B31-('P&amp;L'!B5+'P&amp;L'!B10+'P&amp;L'!B11+'P&amp;L'!B12+'P&amp;L'!B16+'P&amp;L'!B17+'P&amp;L'!B18+'P&amp;L'!B19)</f>
        <v>0</v>
      </c>
      <c r="C37" s="219" t="str">
        <f>IF(ABS(B37)&lt;100,"✓ OK","✗ ERROR")</f>
        <v>✓ OK</v>
      </c>
      <c r="D37" s="144" t="s">
        <v>56</v>
      </c>
      <c r="F37" s="216" t="s">
        <v>57</v>
      </c>
      <c r="G37" s="211">
        <f>'Cash Flow &amp; DCF'!C21</f>
        <v>0.34484328627586358</v>
      </c>
      <c r="H37" s="150">
        <v>0.15</v>
      </c>
      <c r="I37" s="217" t="str">
        <f>IF(G37&gt;=H37,"✓","⚠ BELOW 15%")</f>
        <v>✓</v>
      </c>
    </row>
    <row r="38" spans="1:9" x14ac:dyDescent="0.2">
      <c r="A38" s="218" t="s">
        <v>58</v>
      </c>
      <c r="B38" s="217">
        <f>'Monthly P&amp;L'!N6-'P&amp;L'!B4</f>
        <v>29502.630769232288</v>
      </c>
      <c r="C38" s="219" t="str">
        <f>IF(ABS(B38)&lt;1000,"✓ OK","⚠ WARN")</f>
        <v>⚠ WARN</v>
      </c>
      <c r="D38" s="144" t="s">
        <v>53</v>
      </c>
      <c r="F38" s="218" t="s">
        <v>59</v>
      </c>
      <c r="G38" s="220">
        <f>'Patient Acquisition'!B47</f>
        <v>7.6877654698482756</v>
      </c>
      <c r="H38" s="158">
        <v>3</v>
      </c>
      <c r="I38" s="219" t="str">
        <f>IF(G38&gt;=H38,"✓","⚠ LOW")</f>
        <v>✓</v>
      </c>
    </row>
    <row r="39" spans="1:9" x14ac:dyDescent="0.2">
      <c r="A39" s="218" t="s">
        <v>60</v>
      </c>
      <c r="B39" s="217">
        <f>'Patient Acquisition'!B22-'Patient Acquisition'!B85</f>
        <v>0</v>
      </c>
      <c r="C39" s="219" t="str">
        <f>IF(ABS(B39)&lt;10,"✓ OK","✗ ERROR")</f>
        <v>✓ OK</v>
      </c>
      <c r="D39" s="144" t="s">
        <v>61</v>
      </c>
      <c r="F39" s="218" t="s">
        <v>62</v>
      </c>
      <c r="G39" s="221">
        <f>Capacity!F39</f>
        <v>0.66711224489795906</v>
      </c>
      <c r="H39" s="151">
        <v>1</v>
      </c>
      <c r="I39" s="219" t="str">
        <f>IF(G39&lt;=H39,"✓","✗ OVER")</f>
        <v>✓</v>
      </c>
    </row>
    <row r="40" spans="1:9" x14ac:dyDescent="0.2">
      <c r="A40" s="218" t="s">
        <v>63</v>
      </c>
      <c r="B40" s="217">
        <f>Capacity!B39</f>
        <v>0.36571641791044768</v>
      </c>
      <c r="C40" s="219" t="str">
        <f>IF(B40&lt;=1,"✓ OK",IF(B40&lt;=1.2,"⚠ HIGH","✗ OVER"))</f>
        <v>✓ OK</v>
      </c>
      <c r="D40" s="144" t="s">
        <v>64</v>
      </c>
      <c r="F40" s="218" t="s">
        <v>65</v>
      </c>
      <c r="G40" s="221">
        <f>Capacity!F42</f>
        <v>0.61099999999999999</v>
      </c>
      <c r="H40" s="151">
        <v>1</v>
      </c>
      <c r="I40" s="219" t="str">
        <f>IF(G40&lt;=H40,"✓","⚠ EXPAND")</f>
        <v>✓</v>
      </c>
    </row>
    <row r="41" spans="1:9" x14ac:dyDescent="0.2">
      <c r="A41" s="218" t="s">
        <v>66</v>
      </c>
      <c r="B41" s="217">
        <f>Capacity!B42</f>
        <v>0.22899999999999998</v>
      </c>
      <c r="C41" s="219" t="str">
        <f>IF(B41&lt;=1,"✓ OK",IF(B41&lt;=1.2,"⚠ HIGH","✗ OVER"))</f>
        <v>✓ OK</v>
      </c>
      <c r="D41" s="144" t="s">
        <v>64</v>
      </c>
      <c r="F41" s="145" t="s">
        <v>67</v>
      </c>
      <c r="G41" s="159"/>
      <c r="H41" s="159"/>
      <c r="I41" s="146" t="str">
        <f>IF(COUNTIF(I34:I40,"✗*")&gt;0,"✗ ALERTS",IF(COUNTIF(I34:I40,"⚠*")&gt;0,"⚠ WARNINGS","✓ ALL CLEAR"))</f>
        <v>✓ ALL CLEAR</v>
      </c>
    </row>
    <row r="42" spans="1:9" x14ac:dyDescent="0.2">
      <c r="A42" s="218" t="s">
        <v>68</v>
      </c>
      <c r="B42" s="217">
        <f>AVERAGE(Assumptions!B235:M235)</f>
        <v>1.0000833333333332</v>
      </c>
      <c r="C42" s="219" t="str">
        <f>IF(ABS(B42-1)&lt;0.001,"✓ OK","✗ ERROR")</f>
        <v>✓ OK</v>
      </c>
      <c r="D42" s="144" t="s">
        <v>69</v>
      </c>
      <c r="F42" s="140" t="s">
        <v>70</v>
      </c>
      <c r="G42" s="161" t="s">
        <v>12</v>
      </c>
      <c r="H42" s="161" t="s">
        <v>11</v>
      </c>
      <c r="I42" s="161" t="s">
        <v>71</v>
      </c>
    </row>
    <row r="43" spans="1:9" x14ac:dyDescent="0.2">
      <c r="A43" s="218" t="s">
        <v>72</v>
      </c>
      <c r="B43" s="217">
        <f>'Patient Acquisition'!B47</f>
        <v>7.6877654698482756</v>
      </c>
      <c r="C43" s="219" t="str">
        <f>IF(B43&gt;=3,"✓ OK",IF(B43&gt;=2,"⚠ LOW","✗ BAD"))</f>
        <v>✓ OK</v>
      </c>
      <c r="D43" s="144" t="s">
        <v>73</v>
      </c>
      <c r="F43" s="152" t="s">
        <v>74</v>
      </c>
      <c r="G43" s="167">
        <f>'Cash Flow &amp; DCF'!C21</f>
        <v>0.34484328627586358</v>
      </c>
      <c r="H43" s="168">
        <f>'Cash Flow &amp; DCF'!C20</f>
        <v>15036380.179488774</v>
      </c>
      <c r="I43" s="169">
        <f>'Cash Flow &amp; DCF'!C24</f>
        <v>6.830969301369616</v>
      </c>
    </row>
    <row r="44" spans="1:9" x14ac:dyDescent="0.2">
      <c r="A44" s="145" t="s">
        <v>75</v>
      </c>
      <c r="B44" s="160"/>
      <c r="C44" s="146" t="str">
        <f>IF(COUNTIF(C36:C43,"✗*")&gt;0,"✗ ERRORS",IF(COUNTIF(C36:C43,"⚠*")&gt;0,"⚠ WARNINGS","✓ ALL CLEAR"))</f>
        <v>⚠ WARNINGS</v>
      </c>
      <c r="D44" s="147" t="s">
        <v>76</v>
      </c>
      <c r="F44" s="226">
        <v>0.6</v>
      </c>
      <c r="G44" s="211">
        <f>$G$43*($F$44^1.8)</f>
        <v>0.13749725432674131</v>
      </c>
      <c r="H44" s="217">
        <f>$H$43*($F$44^1.8)</f>
        <v>5995363.8999914806</v>
      </c>
      <c r="I44" s="227">
        <f>$I$43*($F$44^1.8)</f>
        <v>2.7236706083853375</v>
      </c>
    </row>
    <row r="45" spans="1:9" x14ac:dyDescent="0.2">
      <c r="A45" s="185"/>
      <c r="B45" s="182"/>
      <c r="C45" s="182"/>
      <c r="D45" s="185"/>
      <c r="F45" s="226">
        <v>0.7</v>
      </c>
      <c r="G45" s="211">
        <f>$G$43*($F$45^1.8)</f>
        <v>0.18146724553796817</v>
      </c>
      <c r="H45" s="217">
        <f>$H$43*($F$45^1.8)</f>
        <v>7912610.1699736333</v>
      </c>
      <c r="I45" s="227">
        <f>$I$43*($F$45^1.8)</f>
        <v>3.5946681661139399</v>
      </c>
    </row>
    <row r="46" spans="1:9" x14ac:dyDescent="0.2">
      <c r="A46" s="140" t="s">
        <v>77</v>
      </c>
      <c r="B46" s="180"/>
      <c r="C46" s="269"/>
      <c r="D46" s="180"/>
      <c r="F46" s="226">
        <v>0.8</v>
      </c>
      <c r="G46" s="211">
        <f>$G$43*($F$46^1.8)</f>
        <v>0.23077233892838298</v>
      </c>
      <c r="H46" s="217">
        <f>$H$43*($F$46^1.8)</f>
        <v>10062485.659822676</v>
      </c>
      <c r="I46" s="227">
        <f>$I$43*($F$46^1.8)</f>
        <v>4.5713482777912633</v>
      </c>
    </row>
    <row r="47" spans="1:9" x14ac:dyDescent="0.2">
      <c r="A47" s="142" t="s">
        <v>8</v>
      </c>
      <c r="B47" s="143" t="s">
        <v>78</v>
      </c>
      <c r="C47" s="142" t="s">
        <v>79</v>
      </c>
      <c r="F47" s="226">
        <v>0.9</v>
      </c>
      <c r="G47" s="211">
        <f>$G$43*($F$47^1.8)</f>
        <v>0.28527143854883263</v>
      </c>
      <c r="H47" s="217">
        <f>$H$43*($F$47^1.8)</f>
        <v>12438838.089886704</v>
      </c>
      <c r="I47" s="227">
        <f>$I$43*($F$47^1.8)</f>
        <v>5.6509159865903342</v>
      </c>
    </row>
    <row r="48" spans="1:9" x14ac:dyDescent="0.2">
      <c r="A48" s="218" t="s">
        <v>80</v>
      </c>
      <c r="B48" s="217">
        <f>-('P&amp;L'!B16+'P&amp;L'!B17+'P&amp;L'!B18+'P&amp;L'!B19)/'P&amp;L'!B8/12</f>
        <v>244505.78128852241</v>
      </c>
      <c r="C48" s="144" t="s">
        <v>81</v>
      </c>
      <c r="F48" s="165">
        <v>1</v>
      </c>
      <c r="G48" s="166">
        <f>$G$43*($F$48^1.8)</f>
        <v>0.34484328627586358</v>
      </c>
      <c r="H48" s="170">
        <f>$H$43*($F$48^1.8)</f>
        <v>15036380.179488774</v>
      </c>
      <c r="I48" s="173">
        <f>$I$43*($F$48^1.8)</f>
        <v>6.830969301369616</v>
      </c>
    </row>
    <row r="49" spans="1:9" x14ac:dyDescent="0.2">
      <c r="A49" s="218" t="s">
        <v>82</v>
      </c>
      <c r="B49" s="217">
        <f>IF('Patient Acquisition'!B40&gt;0,B48/'Patient Acquisition'!B40,0)</f>
        <v>407.49556357382227</v>
      </c>
      <c r="C49" s="144" t="s">
        <v>83</v>
      </c>
      <c r="F49" s="226">
        <v>1.1000000000000001</v>
      </c>
      <c r="G49" s="211">
        <f>$G$43*($F$49^1.8)</f>
        <v>0.40938187281365501</v>
      </c>
      <c r="H49" s="217">
        <f>$H$43*($F$49^1.8)</f>
        <v>17850489.550470579</v>
      </c>
      <c r="I49" s="227">
        <f>$I$43*($F$49^1.8)</f>
        <v>8.1094082936275811</v>
      </c>
    </row>
    <row r="50" spans="1:9" x14ac:dyDescent="0.2">
      <c r="A50" s="270" t="s">
        <v>84</v>
      </c>
      <c r="B50" s="271">
        <f>IF(Assumptions!B190&gt;0,B49*12/Assumptions!B190,0)</f>
        <v>0.16888907641487991</v>
      </c>
      <c r="C50" s="144" t="s">
        <v>85</v>
      </c>
      <c r="F50" s="226">
        <v>1.2</v>
      </c>
      <c r="G50" s="211">
        <f>$G$43*($F$50^1.8)</f>
        <v>0.47879324882326035</v>
      </c>
      <c r="H50" s="217">
        <f>$H$43*($F$50^1.8)</f>
        <v>20877069.681211326</v>
      </c>
      <c r="I50" s="227">
        <f>$I$43*($F$50^1.8)</f>
        <v>9.484371929451811</v>
      </c>
    </row>
    <row r="51" spans="1:9" x14ac:dyDescent="0.2">
      <c r="A51" s="218" t="s">
        <v>86</v>
      </c>
      <c r="B51" s="272">
        <f>IFERROR(MATCH(1,INDEX(('Monthly P&amp;L'!B18:M18&gt;0)*1,,),0),"&gt;12")</f>
        <v>9</v>
      </c>
      <c r="C51" s="144" t="s">
        <v>87</v>
      </c>
      <c r="F51" s="226">
        <v>1.3</v>
      </c>
      <c r="G51" s="211">
        <f>$G$43*($F$51^1.8)</f>
        <v>0.55299322339835533</v>
      </c>
      <c r="H51" s="217">
        <f>$H$43*($F$51^1.8)</f>
        <v>24112449.552075349</v>
      </c>
      <c r="I51" s="227">
        <f>$I$43*($F$51^1.8)</f>
        <v>10.954192478834379</v>
      </c>
    </row>
    <row r="52" spans="1:9" x14ac:dyDescent="0.2">
      <c r="A52" s="218" t="s">
        <v>88</v>
      </c>
      <c r="B52" s="272">
        <f>IF(COUNTIF('Cash Flow &amp; DCF'!C8:L8,"&gt;0")=0,"N/A",(MATCH(1,INDEX(('Cash Flow &amp; DCF'!C8:L8&gt;0)*1,,),0)-1)*12+(-INDEX('Cash Flow &amp; DCF'!B8:K8,MATCH(1,INDEX(('Cash Flow &amp; DCF'!C8:L8&gt;0)*1,,),0)))/(INDEX('Cash Flow &amp; DCF'!C8:L8,MATCH(1,INDEX(('Cash Flow &amp; DCF'!C8:L8&gt;0)*1,,),0))-INDEX('Cash Flow &amp; DCF'!B8:K8,MATCH(1,INDEX(('Cash Flow &amp; DCF'!C8:L8&gt;0)*1,,),0)))*12)</f>
        <v>48.518845782313505</v>
      </c>
      <c r="C52" s="144" t="s">
        <v>89</v>
      </c>
      <c r="F52" s="226">
        <v>1.4</v>
      </c>
      <c r="G52" s="211">
        <f>$G$43*($F$52^1.8)</f>
        <v>0.63190565129149712</v>
      </c>
      <c r="H52" s="217">
        <f>$H$43*($F$52^1.8)</f>
        <v>27553308.962452751</v>
      </c>
      <c r="I52" s="227">
        <f>$I$43*($F$52^1.8)</f>
        <v>12.517361587492545</v>
      </c>
    </row>
    <row r="54" spans="1:9" ht="46" customHeight="1" x14ac:dyDescent="0.2">
      <c r="A54" s="140" t="s">
        <v>90</v>
      </c>
      <c r="B54" s="141"/>
      <c r="C54" s="141"/>
      <c r="D54" s="141"/>
      <c r="F54" s="172" t="s">
        <v>91</v>
      </c>
    </row>
    <row r="55" spans="1:9" x14ac:dyDescent="0.2">
      <c r="A55" s="142" t="s">
        <v>8</v>
      </c>
      <c r="B55" s="143" t="s">
        <v>92</v>
      </c>
      <c r="C55" s="143" t="s">
        <v>93</v>
      </c>
      <c r="D55" s="143" t="s">
        <v>94</v>
      </c>
    </row>
    <row r="56" spans="1:9" x14ac:dyDescent="0.2">
      <c r="A56" s="218" t="s">
        <v>95</v>
      </c>
      <c r="B56" s="217">
        <v>0</v>
      </c>
      <c r="C56" s="217">
        <f>Revenue!B13*Assumptions!$B$123</f>
        <v>535164</v>
      </c>
      <c r="D56" s="217">
        <f>B56-C56</f>
        <v>-535164</v>
      </c>
    </row>
    <row r="57" spans="1:9" x14ac:dyDescent="0.2">
      <c r="A57" s="218" t="s">
        <v>96</v>
      </c>
      <c r="B57" s="217">
        <v>0</v>
      </c>
      <c r="C57" s="217">
        <f>Revenue!F13*Assumptions!$B$123*(1+Assumptions!$B$124)^4</f>
        <v>1695248.3839406066</v>
      </c>
      <c r="D57" s="217">
        <f>B57-C57</f>
        <v>-1695248.3839406066</v>
      </c>
    </row>
    <row r="58" spans="1:9" x14ac:dyDescent="0.2">
      <c r="A58" s="270" t="s">
        <v>97</v>
      </c>
      <c r="B58" s="273">
        <v>0</v>
      </c>
      <c r="C58" s="273">
        <f>SUM(Revenue!B13:K13)*Assumptions!$B$123*1.025</f>
        <v>17415784.311693348</v>
      </c>
      <c r="D58" s="273">
        <f>B58-C58</f>
        <v>-17415784.311693348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P327"/>
  <sheetViews>
    <sheetView topLeftCell="A218" zoomScale="150" zoomScaleNormal="100" workbookViewId="0">
      <selection activeCell="B320" sqref="B320"/>
    </sheetView>
  </sheetViews>
  <sheetFormatPr baseColWidth="10" defaultColWidth="8.6640625" defaultRowHeight="15" x14ac:dyDescent="0.2"/>
  <cols>
    <col min="1" max="1" width="40" customWidth="1"/>
    <col min="2" max="2" width="14" customWidth="1"/>
    <col min="3" max="3" width="15.83203125" customWidth="1"/>
    <col min="4" max="12" width="14" customWidth="1"/>
  </cols>
  <sheetData>
    <row r="1" spans="1:16" ht="27.75" customHeight="1" x14ac:dyDescent="0.2">
      <c r="A1" s="677" t="s">
        <v>98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</row>
    <row r="2" spans="1:16" ht="15" customHeight="1" x14ac:dyDescent="0.2">
      <c r="A2" s="679" t="s">
        <v>99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</row>
    <row r="4" spans="1:16" ht="15" customHeight="1" x14ac:dyDescent="0.2">
      <c r="A4" s="228" t="s">
        <v>100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6" ht="30" customHeight="1" x14ac:dyDescent="0.2">
      <c r="A5" s="229" t="s">
        <v>101</v>
      </c>
      <c r="B5" s="17">
        <v>1</v>
      </c>
      <c r="C5" s="18" t="s">
        <v>102</v>
      </c>
    </row>
    <row r="6" spans="1:16" ht="17.25" customHeight="1" x14ac:dyDescent="0.2">
      <c r="A6" s="230" t="s">
        <v>38</v>
      </c>
      <c r="B6" s="231">
        <v>1</v>
      </c>
      <c r="C6" s="232" t="s">
        <v>103</v>
      </c>
      <c r="D6" s="19"/>
      <c r="E6" s="19"/>
      <c r="F6" s="19"/>
      <c r="G6" s="19"/>
      <c r="H6" s="19"/>
      <c r="I6" s="19"/>
      <c r="J6" s="19"/>
      <c r="K6" s="19"/>
      <c r="L6" s="19"/>
    </row>
    <row r="7" spans="1:16" ht="15" customHeight="1" x14ac:dyDescent="0.2">
      <c r="A7" s="1" t="s">
        <v>104</v>
      </c>
      <c r="B7" s="1"/>
      <c r="C7" s="1"/>
      <c r="D7" s="1"/>
      <c r="E7" s="1"/>
      <c r="F7" s="1"/>
      <c r="G7" s="1"/>
      <c r="H7" s="1"/>
      <c r="I7" s="183"/>
      <c r="J7" s="148"/>
      <c r="K7" s="148"/>
      <c r="L7" s="148"/>
      <c r="M7" s="141"/>
      <c r="N7" s="141"/>
      <c r="O7" s="141"/>
      <c r="P7" s="141"/>
    </row>
    <row r="8" spans="1:16" ht="15" customHeight="1" x14ac:dyDescent="0.2">
      <c r="A8" s="233" t="s">
        <v>105</v>
      </c>
      <c r="B8" s="213" t="s">
        <v>106</v>
      </c>
      <c r="C8" s="213" t="s">
        <v>107</v>
      </c>
      <c r="D8" s="213" t="s">
        <v>108</v>
      </c>
      <c r="E8" s="213" t="s">
        <v>79</v>
      </c>
      <c r="I8" s="183"/>
      <c r="J8" s="183"/>
      <c r="K8" s="183"/>
      <c r="L8" s="183"/>
      <c r="M8" s="183"/>
      <c r="N8" s="183"/>
      <c r="O8" s="183"/>
      <c r="P8" s="183"/>
    </row>
    <row r="9" spans="1:16" ht="15" customHeight="1" x14ac:dyDescent="0.2">
      <c r="A9" s="234" t="s">
        <v>3</v>
      </c>
      <c r="B9" s="235">
        <v>620</v>
      </c>
      <c r="C9" s="235">
        <v>450</v>
      </c>
      <c r="D9" s="235">
        <f t="shared" ref="D9:D26" si="0">IF($B$5=1,B9,C9)</f>
        <v>620</v>
      </c>
      <c r="E9" s="20"/>
      <c r="I9" s="183"/>
      <c r="J9" s="183"/>
      <c r="K9" s="183"/>
      <c r="L9" s="183"/>
      <c r="M9" s="183"/>
      <c r="N9" s="183"/>
      <c r="O9" s="183"/>
      <c r="P9" s="183"/>
    </row>
    <row r="10" spans="1:16" ht="15" customHeight="1" x14ac:dyDescent="0.2">
      <c r="A10" s="234" t="s">
        <v>109</v>
      </c>
      <c r="B10" s="236">
        <v>0.71</v>
      </c>
      <c r="C10" s="236">
        <v>0.65</v>
      </c>
      <c r="D10" s="236">
        <f t="shared" si="0"/>
        <v>0.71</v>
      </c>
      <c r="E10" s="237" t="s">
        <v>110</v>
      </c>
      <c r="I10" s="183"/>
      <c r="J10" s="183"/>
      <c r="K10" s="183"/>
      <c r="L10" s="183"/>
      <c r="M10" s="183"/>
      <c r="N10" s="183"/>
      <c r="O10" s="183"/>
      <c r="P10" s="183"/>
    </row>
    <row r="11" spans="1:16" ht="15" customHeight="1" x14ac:dyDescent="0.2">
      <c r="A11" s="234" t="s">
        <v>111</v>
      </c>
      <c r="B11" s="237">
        <f>B9*B10</f>
        <v>440.2</v>
      </c>
      <c r="C11" s="237">
        <f>C9*C10</f>
        <v>292.5</v>
      </c>
      <c r="D11" s="237">
        <f t="shared" si="0"/>
        <v>440.2</v>
      </c>
      <c r="E11" s="20"/>
      <c r="I11" s="183"/>
      <c r="J11" s="183"/>
      <c r="K11" s="183"/>
      <c r="L11" s="183"/>
      <c r="M11" s="183"/>
      <c r="N11" s="183"/>
      <c r="O11" s="183"/>
      <c r="P11" s="183"/>
    </row>
    <row r="12" spans="1:16" ht="15" customHeight="1" x14ac:dyDescent="0.2">
      <c r="A12" s="234" t="s">
        <v>112</v>
      </c>
      <c r="B12" s="235">
        <v>1320</v>
      </c>
      <c r="C12" s="235">
        <v>1320</v>
      </c>
      <c r="D12" s="235">
        <f t="shared" si="0"/>
        <v>1320</v>
      </c>
      <c r="E12" s="237" t="s">
        <v>113</v>
      </c>
      <c r="I12" s="183"/>
      <c r="J12" s="183"/>
      <c r="K12" s="183"/>
      <c r="L12" s="183"/>
      <c r="M12" s="183"/>
      <c r="N12" s="183"/>
      <c r="O12" s="183"/>
      <c r="P12" s="183"/>
    </row>
    <row r="13" spans="1:16" ht="15" customHeight="1" x14ac:dyDescent="0.2">
      <c r="A13" s="234" t="s">
        <v>114</v>
      </c>
      <c r="B13" s="235">
        <v>5</v>
      </c>
      <c r="C13" s="235">
        <v>5</v>
      </c>
      <c r="D13" s="235">
        <f t="shared" si="0"/>
        <v>5</v>
      </c>
      <c r="E13" s="237" t="s">
        <v>115</v>
      </c>
      <c r="I13" s="183"/>
      <c r="J13" s="183"/>
      <c r="K13" s="183"/>
      <c r="L13" s="183"/>
      <c r="M13" s="183"/>
      <c r="N13" s="183"/>
      <c r="O13" s="183"/>
      <c r="P13" s="183"/>
    </row>
    <row r="14" spans="1:16" ht="15" customHeight="1" x14ac:dyDescent="0.2">
      <c r="A14" s="234" t="s">
        <v>116</v>
      </c>
      <c r="B14" s="235">
        <v>8</v>
      </c>
      <c r="C14" s="235">
        <v>8</v>
      </c>
      <c r="D14" s="235">
        <f t="shared" si="0"/>
        <v>8</v>
      </c>
      <c r="E14" s="20" t="s">
        <v>117</v>
      </c>
      <c r="I14" s="183"/>
      <c r="J14" s="183"/>
      <c r="K14" s="183"/>
      <c r="L14" s="183"/>
      <c r="M14" s="183"/>
      <c r="N14" s="183"/>
      <c r="O14" s="183"/>
      <c r="P14" s="183"/>
    </row>
    <row r="15" spans="1:16" ht="15" customHeight="1" x14ac:dyDescent="0.2">
      <c r="A15" s="234" t="s">
        <v>118</v>
      </c>
      <c r="B15" s="448">
        <f>B13*52</f>
        <v>260</v>
      </c>
      <c r="C15" s="448">
        <f>C13*52</f>
        <v>260</v>
      </c>
      <c r="D15" s="448">
        <f t="shared" si="0"/>
        <v>260</v>
      </c>
      <c r="E15" s="20" t="s">
        <v>119</v>
      </c>
      <c r="I15" s="183"/>
      <c r="J15" s="183"/>
      <c r="K15" s="183"/>
      <c r="L15" s="183"/>
      <c r="M15" s="183"/>
      <c r="N15" s="183"/>
      <c r="O15" s="183"/>
      <c r="P15" s="183"/>
    </row>
    <row r="16" spans="1:16" ht="15" customHeight="1" x14ac:dyDescent="0.2">
      <c r="A16" s="234" t="s">
        <v>120</v>
      </c>
      <c r="B16" s="448">
        <v>7</v>
      </c>
      <c r="C16" s="448">
        <v>7</v>
      </c>
      <c r="D16" s="448">
        <f t="shared" si="0"/>
        <v>7</v>
      </c>
      <c r="E16" s="20" t="s">
        <v>121</v>
      </c>
      <c r="I16" s="183"/>
      <c r="J16" s="183"/>
      <c r="K16" s="183"/>
      <c r="L16" s="183"/>
      <c r="M16" s="183"/>
      <c r="N16" s="183"/>
      <c r="O16" s="183"/>
      <c r="P16" s="183"/>
    </row>
    <row r="17" spans="1:16" ht="15" customHeight="1" x14ac:dyDescent="0.2">
      <c r="A17" s="234" t="s">
        <v>122</v>
      </c>
      <c r="B17" s="448">
        <f>B16*52</f>
        <v>364</v>
      </c>
      <c r="C17" s="448">
        <f>C16*52</f>
        <v>364</v>
      </c>
      <c r="D17" s="448">
        <f t="shared" si="0"/>
        <v>364</v>
      </c>
      <c r="E17" s="20" t="s">
        <v>123</v>
      </c>
      <c r="I17" s="183"/>
      <c r="J17" s="183"/>
      <c r="K17" s="183"/>
      <c r="L17" s="183"/>
      <c r="M17" s="183"/>
      <c r="N17" s="183"/>
      <c r="O17" s="183"/>
      <c r="P17" s="183"/>
    </row>
    <row r="18" spans="1:16" ht="15" customHeight="1" x14ac:dyDescent="0.2">
      <c r="A18" s="234" t="s">
        <v>124</v>
      </c>
      <c r="B18" s="448">
        <v>10</v>
      </c>
      <c r="C18" s="448">
        <v>10</v>
      </c>
      <c r="D18" s="448">
        <f t="shared" si="0"/>
        <v>10</v>
      </c>
      <c r="E18" s="20" t="s">
        <v>125</v>
      </c>
      <c r="I18" s="183"/>
      <c r="J18" s="183"/>
      <c r="K18" s="183"/>
      <c r="L18" s="183"/>
      <c r="M18" s="183"/>
      <c r="N18" s="183"/>
      <c r="O18" s="183"/>
      <c r="P18" s="183"/>
    </row>
    <row r="19" spans="1:16" ht="15" customHeight="1" x14ac:dyDescent="0.2">
      <c r="A19" s="458" t="s">
        <v>126</v>
      </c>
      <c r="B19" s="459">
        <v>0.87</v>
      </c>
      <c r="C19" s="459">
        <v>0.87</v>
      </c>
      <c r="D19" s="461">
        <f t="shared" si="0"/>
        <v>0.87</v>
      </c>
      <c r="E19" s="20"/>
      <c r="I19" s="183"/>
      <c r="J19" s="183"/>
      <c r="K19" s="183"/>
      <c r="L19" s="183"/>
      <c r="M19" s="183"/>
      <c r="N19" s="183"/>
      <c r="O19" s="183"/>
      <c r="P19" s="183"/>
    </row>
    <row r="20" spans="1:16" ht="15" customHeight="1" x14ac:dyDescent="0.2">
      <c r="A20" s="458" t="s">
        <v>127</v>
      </c>
      <c r="B20" s="459">
        <v>0.87</v>
      </c>
      <c r="C20" s="459">
        <v>0.87</v>
      </c>
      <c r="D20" s="461">
        <f t="shared" si="0"/>
        <v>0.87</v>
      </c>
      <c r="E20" s="20"/>
      <c r="I20" s="183"/>
      <c r="J20" s="183"/>
      <c r="K20" s="183"/>
      <c r="L20" s="183"/>
      <c r="M20" s="183"/>
      <c r="N20" s="183"/>
      <c r="O20" s="183"/>
      <c r="P20" s="183"/>
    </row>
    <row r="21" spans="1:16" ht="15" customHeight="1" x14ac:dyDescent="0.2">
      <c r="A21" s="458" t="s">
        <v>128</v>
      </c>
      <c r="B21" s="459">
        <v>0.5</v>
      </c>
      <c r="C21" s="459">
        <v>0.5</v>
      </c>
      <c r="D21" s="461">
        <f t="shared" si="0"/>
        <v>0.5</v>
      </c>
      <c r="E21" s="20"/>
      <c r="I21" s="183"/>
      <c r="J21" s="183"/>
      <c r="K21" s="183"/>
      <c r="L21" s="183"/>
      <c r="M21" s="183"/>
      <c r="N21" s="183"/>
      <c r="O21" s="183"/>
      <c r="P21" s="183"/>
    </row>
    <row r="22" spans="1:16" ht="15" customHeight="1" x14ac:dyDescent="0.2">
      <c r="A22" s="458" t="s">
        <v>129</v>
      </c>
      <c r="B22" s="460">
        <v>5</v>
      </c>
      <c r="C22" s="460">
        <v>5</v>
      </c>
      <c r="D22" s="460">
        <f t="shared" si="0"/>
        <v>5</v>
      </c>
      <c r="E22" s="20"/>
      <c r="I22" s="183"/>
      <c r="J22" s="183"/>
      <c r="K22" s="183"/>
      <c r="L22" s="183"/>
      <c r="M22" s="183"/>
      <c r="N22" s="183"/>
      <c r="O22" s="183"/>
      <c r="P22" s="183"/>
    </row>
    <row r="23" spans="1:16" ht="15" customHeight="1" x14ac:dyDescent="0.2">
      <c r="A23" s="492" t="s">
        <v>130</v>
      </c>
      <c r="B23" s="493">
        <f>(B22*B20+(B16-B22)*B21)/B16</f>
        <v>0.76428571428571423</v>
      </c>
      <c r="C23" s="493">
        <f>(C22*C20+(C16-C22)*C21)/C16</f>
        <v>0.76428571428571423</v>
      </c>
      <c r="D23" s="493">
        <f t="shared" si="0"/>
        <v>0.76428571428571423</v>
      </c>
      <c r="E23" s="20"/>
      <c r="I23" s="183"/>
      <c r="J23" s="183"/>
      <c r="K23" s="183"/>
      <c r="L23" s="183"/>
      <c r="M23" s="183"/>
      <c r="N23" s="183"/>
      <c r="O23" s="183"/>
      <c r="P23" s="183"/>
    </row>
    <row r="24" spans="1:16" ht="15" customHeight="1" x14ac:dyDescent="0.2">
      <c r="A24" s="234" t="s">
        <v>131</v>
      </c>
      <c r="B24" s="235">
        <v>3</v>
      </c>
      <c r="C24" s="235">
        <v>3</v>
      </c>
      <c r="D24" s="235">
        <f t="shared" si="0"/>
        <v>3</v>
      </c>
      <c r="E24" s="20"/>
      <c r="I24" s="183"/>
      <c r="J24" s="183"/>
      <c r="K24" s="183"/>
      <c r="L24" s="183"/>
      <c r="M24" s="183"/>
      <c r="N24" s="183"/>
      <c r="O24" s="183"/>
      <c r="P24" s="183"/>
    </row>
    <row r="25" spans="1:16" ht="15" customHeight="1" x14ac:dyDescent="0.2">
      <c r="A25" s="234" t="s">
        <v>132</v>
      </c>
      <c r="B25" s="235">
        <v>3800</v>
      </c>
      <c r="C25" s="235">
        <v>3800</v>
      </c>
      <c r="D25" s="235">
        <f t="shared" si="0"/>
        <v>3800</v>
      </c>
      <c r="E25" s="20"/>
    </row>
    <row r="26" spans="1:16" ht="15" customHeight="1" x14ac:dyDescent="0.2">
      <c r="A26" s="234" t="s">
        <v>133</v>
      </c>
      <c r="B26" s="235">
        <v>7</v>
      </c>
      <c r="C26" s="235">
        <v>7</v>
      </c>
      <c r="D26" s="235">
        <f t="shared" si="0"/>
        <v>7</v>
      </c>
      <c r="E26" s="237" t="s">
        <v>134</v>
      </c>
      <c r="I26" s="183"/>
    </row>
    <row r="28" spans="1:16" ht="15" customHeight="1" x14ac:dyDescent="0.2">
      <c r="A28" s="238" t="s">
        <v>135</v>
      </c>
      <c r="B28" s="186"/>
      <c r="C28" s="186"/>
      <c r="D28" s="186"/>
      <c r="E28" s="186"/>
      <c r="F28" s="186"/>
      <c r="G28" s="186"/>
      <c r="H28" s="186"/>
      <c r="I28" s="183"/>
      <c r="J28" s="141"/>
      <c r="K28" s="141"/>
      <c r="L28" s="141"/>
    </row>
    <row r="29" spans="1:16" ht="15" customHeight="1" x14ac:dyDescent="0.2">
      <c r="A29" s="21" t="s">
        <v>136</v>
      </c>
      <c r="B29" s="22" t="s">
        <v>137</v>
      </c>
      <c r="C29" s="22" t="s">
        <v>138</v>
      </c>
      <c r="D29" s="22" t="s">
        <v>139</v>
      </c>
      <c r="E29" s="21" t="s">
        <v>79</v>
      </c>
      <c r="F29" s="23" t="s">
        <v>140</v>
      </c>
      <c r="G29" s="23" t="s">
        <v>141</v>
      </c>
      <c r="H29" s="23" t="s">
        <v>142</v>
      </c>
      <c r="I29" s="183"/>
      <c r="J29" s="183"/>
      <c r="K29" s="183"/>
      <c r="L29" s="183"/>
    </row>
    <row r="30" spans="1:16" ht="15" customHeight="1" x14ac:dyDescent="0.2">
      <c r="A30" s="222" t="s">
        <v>143</v>
      </c>
      <c r="B30" s="268">
        <f>F30*$B$15*H30*$D$19</f>
        <v>6786</v>
      </c>
      <c r="C30" s="268">
        <f>G30*$B$15*H30*$D$19</f>
        <v>6786</v>
      </c>
      <c r="D30" s="239">
        <f t="shared" ref="D30:D35" si="1">IF($B$5=1,B30,C30)</f>
        <v>6786</v>
      </c>
      <c r="E30" s="24" t="s">
        <v>144</v>
      </c>
      <c r="F30" s="25">
        <v>3</v>
      </c>
      <c r="G30" s="25">
        <v>3</v>
      </c>
      <c r="H30" s="25">
        <v>10</v>
      </c>
      <c r="I30" s="183"/>
      <c r="J30" s="183"/>
      <c r="K30" s="183"/>
      <c r="L30" s="183"/>
    </row>
    <row r="31" spans="1:16" ht="15" customHeight="1" x14ac:dyDescent="0.2">
      <c r="A31" s="222" t="s">
        <v>145</v>
      </c>
      <c r="B31" s="268">
        <f>F31*$B$15*H31*$D$19</f>
        <v>12214.8</v>
      </c>
      <c r="C31" s="268">
        <f>G31*$B$15*H31*$D$19</f>
        <v>10857.6</v>
      </c>
      <c r="D31" s="239">
        <f t="shared" si="1"/>
        <v>12214.8</v>
      </c>
      <c r="E31" s="24" t="s">
        <v>146</v>
      </c>
      <c r="F31" s="25">
        <v>9</v>
      </c>
      <c r="G31" s="25">
        <v>8</v>
      </c>
      <c r="H31" s="25">
        <v>6</v>
      </c>
      <c r="I31" s="183"/>
      <c r="J31" s="183"/>
      <c r="K31" s="183"/>
      <c r="L31" s="183"/>
    </row>
    <row r="32" spans="1:16" ht="15" customHeight="1" x14ac:dyDescent="0.2">
      <c r="A32" s="222" t="s">
        <v>147</v>
      </c>
      <c r="B32" s="268">
        <f>F32*$B$15*H32*$D$19</f>
        <v>2714.4</v>
      </c>
      <c r="C32" s="268">
        <f>G32*$B$15*H32*$D$19</f>
        <v>1809.6</v>
      </c>
      <c r="D32" s="239">
        <f t="shared" si="1"/>
        <v>2714.4</v>
      </c>
      <c r="E32" s="24" t="s">
        <v>148</v>
      </c>
      <c r="F32" s="25">
        <v>3</v>
      </c>
      <c r="G32" s="25">
        <v>2</v>
      </c>
      <c r="H32" s="25">
        <v>4</v>
      </c>
      <c r="I32" s="183"/>
      <c r="J32" s="183"/>
      <c r="K32" s="183"/>
      <c r="L32" s="183"/>
    </row>
    <row r="33" spans="1:12" ht="15" customHeight="1" x14ac:dyDescent="0.2">
      <c r="A33" s="222" t="s">
        <v>149</v>
      </c>
      <c r="B33" s="268">
        <f>F33*$B$15*H33*$D$19</f>
        <v>2714.4</v>
      </c>
      <c r="C33" s="268">
        <f>G33*$B$15*H33*$D$19</f>
        <v>1357.2</v>
      </c>
      <c r="D33" s="239">
        <f t="shared" si="1"/>
        <v>2714.4</v>
      </c>
      <c r="E33" s="24" t="s">
        <v>146</v>
      </c>
      <c r="F33" s="25">
        <v>2</v>
      </c>
      <c r="G33" s="25">
        <v>1</v>
      </c>
      <c r="H33" s="25">
        <v>6</v>
      </c>
      <c r="I33" s="183"/>
      <c r="J33" s="183"/>
      <c r="K33" s="183"/>
      <c r="L33" s="183"/>
    </row>
    <row r="34" spans="1:12" ht="15" customHeight="1" x14ac:dyDescent="0.2">
      <c r="A34" s="222" t="s">
        <v>150</v>
      </c>
      <c r="B34" s="268">
        <f>F34*$B$15*H34*$D$19</f>
        <v>4524</v>
      </c>
      <c r="C34" s="268">
        <f>G34*$B$15*H34*$D$19</f>
        <v>4524</v>
      </c>
      <c r="D34" s="239">
        <f t="shared" si="1"/>
        <v>4524</v>
      </c>
      <c r="E34" s="24" t="s">
        <v>144</v>
      </c>
      <c r="F34" s="25">
        <v>2</v>
      </c>
      <c r="G34" s="25">
        <v>2</v>
      </c>
      <c r="H34" s="25">
        <v>10</v>
      </c>
      <c r="I34" s="183"/>
      <c r="J34" s="183"/>
      <c r="K34" s="183"/>
      <c r="L34" s="183"/>
    </row>
    <row r="35" spans="1:12" ht="15" customHeight="1" x14ac:dyDescent="0.2">
      <c r="A35" s="26" t="s">
        <v>151</v>
      </c>
      <c r="B35" s="27">
        <f>SUM(B30:B34)</f>
        <v>28953.600000000002</v>
      </c>
      <c r="C35" s="27">
        <f>SUM(C30:C34)</f>
        <v>25334.399999999998</v>
      </c>
      <c r="D35" s="27">
        <f t="shared" si="1"/>
        <v>28953.600000000002</v>
      </c>
      <c r="E35" s="28" t="s">
        <v>152</v>
      </c>
      <c r="F35" s="27">
        <f>SUM(F30:F34)</f>
        <v>19</v>
      </c>
      <c r="G35" s="27">
        <f>SUM(G30:G34)</f>
        <v>16</v>
      </c>
      <c r="H35" s="27"/>
      <c r="I35" s="183"/>
      <c r="J35" s="183"/>
      <c r="K35" s="183"/>
      <c r="L35" s="183"/>
    </row>
    <row r="36" spans="1:12" x14ac:dyDescent="0.2">
      <c r="I36" s="183"/>
      <c r="J36" s="183"/>
      <c r="K36" s="183"/>
      <c r="L36" s="183"/>
    </row>
    <row r="37" spans="1:12" ht="15" customHeight="1" x14ac:dyDescent="0.2">
      <c r="A37" s="238" t="s">
        <v>153</v>
      </c>
      <c r="B37" s="187"/>
      <c r="C37" s="187"/>
      <c r="D37" s="187"/>
      <c r="E37" s="187"/>
      <c r="F37" s="29"/>
    </row>
    <row r="38" spans="1:12" ht="15" customHeight="1" x14ac:dyDescent="0.2">
      <c r="A38" s="240" t="s">
        <v>136</v>
      </c>
      <c r="B38" s="241" t="s">
        <v>137</v>
      </c>
      <c r="C38" s="241" t="s">
        <v>138</v>
      </c>
      <c r="D38" s="241" t="s">
        <v>139</v>
      </c>
      <c r="E38" s="240" t="s">
        <v>79</v>
      </c>
      <c r="F38" s="242" t="s">
        <v>154</v>
      </c>
      <c r="G38" s="242" t="s">
        <v>155</v>
      </c>
      <c r="H38" s="242" t="s">
        <v>156</v>
      </c>
    </row>
    <row r="39" spans="1:12" ht="15" customHeight="1" x14ac:dyDescent="0.2">
      <c r="A39" s="222" t="s">
        <v>143</v>
      </c>
      <c r="B39" s="239">
        <f>F39*(($B$22*52)*FLOOR($B$18/H39,1)*$B$20 + (($B$16-$B$22)*52)*FLOOR($B$18/H39,1)*$B$21)</f>
        <v>7233.2</v>
      </c>
      <c r="C39" s="239">
        <f>G39*(($C$22*52)*FLOOR($C$18/H39,1)*$C$20 + (($C$16-$C$22)*52)*FLOOR($C$18/H39,1)*$C$21)</f>
        <v>3616.6</v>
      </c>
      <c r="D39" s="239">
        <f t="shared" ref="D39:D44" si="2">IF($B$5=1,B39,C39)</f>
        <v>7233.2</v>
      </c>
      <c r="E39" s="30" t="s">
        <v>157</v>
      </c>
      <c r="F39" s="25">
        <v>2</v>
      </c>
      <c r="G39" s="25">
        <v>1</v>
      </c>
      <c r="H39" s="31">
        <v>0.75</v>
      </c>
    </row>
    <row r="40" spans="1:12" ht="15" customHeight="1" x14ac:dyDescent="0.2">
      <c r="A40" s="222" t="s">
        <v>145</v>
      </c>
      <c r="B40" s="239">
        <f>F40*(($B$22*52)*FLOOR($B$18/H40,1)*$B$20 + (($B$16-$B$22)*52)*FLOOR($B$18/H40,1)*$B$21)</f>
        <v>27820</v>
      </c>
      <c r="C40" s="239">
        <f>G40*(($C$22*52)*FLOOR($C$18/H40,1)*$C$20 + (($C$16-$C$22)*52)*FLOOR($C$18/H40,1)*$C$21)</f>
        <v>11128</v>
      </c>
      <c r="D40" s="239">
        <f t="shared" si="2"/>
        <v>27820</v>
      </c>
      <c r="E40" s="30" t="s">
        <v>158</v>
      </c>
      <c r="F40" s="25">
        <v>10</v>
      </c>
      <c r="G40" s="25">
        <v>4</v>
      </c>
      <c r="H40" s="31">
        <v>1</v>
      </c>
    </row>
    <row r="41" spans="1:12" ht="15" customHeight="1" x14ac:dyDescent="0.2">
      <c r="A41" s="222" t="s">
        <v>147</v>
      </c>
      <c r="B41" s="239">
        <f>F41*(($B$22*52)*FLOOR($B$18/H41,1)*$B$20 + (($B$16-$B$22)*52)*FLOOR($B$18/H41,1)*$B$21)</f>
        <v>5007.6000000000004</v>
      </c>
      <c r="C41" s="239">
        <f>G41*(($C$22*52)*FLOOR($C$18/H41,1)*$C$20 + (($C$16-$C$22)*52)*FLOOR($C$18/H41,1)*$C$21)</f>
        <v>3338.4</v>
      </c>
      <c r="D41" s="239">
        <f t="shared" si="2"/>
        <v>5007.6000000000004</v>
      </c>
      <c r="E41" s="30" t="s">
        <v>159</v>
      </c>
      <c r="F41" s="25">
        <v>3</v>
      </c>
      <c r="G41" s="25">
        <v>2</v>
      </c>
      <c r="H41" s="31">
        <v>1.5</v>
      </c>
    </row>
    <row r="42" spans="1:12" ht="15" customHeight="1" x14ac:dyDescent="0.2">
      <c r="A42" s="222" t="s">
        <v>149</v>
      </c>
      <c r="B42" s="239">
        <f>F42*(($B$22*52)*FLOOR($B$18/H42,1)*$B$20 + (($B$16-$B$22)*52)*FLOOR($B$18/H42,1)*$B$21)</f>
        <v>8346</v>
      </c>
      <c r="C42" s="239">
        <f>G42*(($C$22*52)*FLOOR($C$18/H42,1)*$C$20 + (($C$16-$C$22)*52)*FLOOR($C$18/H42,1)*$C$21)</f>
        <v>2782</v>
      </c>
      <c r="D42" s="239">
        <f t="shared" si="2"/>
        <v>8346</v>
      </c>
      <c r="E42" s="30" t="s">
        <v>160</v>
      </c>
      <c r="F42" s="25">
        <v>3</v>
      </c>
      <c r="G42" s="25">
        <v>1</v>
      </c>
      <c r="H42" s="31">
        <v>1</v>
      </c>
    </row>
    <row r="43" spans="1:12" ht="15" customHeight="1" x14ac:dyDescent="0.2">
      <c r="A43" s="222" t="s">
        <v>150</v>
      </c>
      <c r="B43" s="239">
        <f>F43*(($B$22*52)*FLOOR($B$18/H43,1)*$B$20 + (($B$16-$B$22)*52)*FLOOR($B$18/H43,1)*$B$21)</f>
        <v>7233.2</v>
      </c>
      <c r="C43" s="239">
        <f>G43*(($C$22*52)*FLOOR($C$18/H43,1)*$C$20 + (($C$16-$C$22)*52)*FLOOR($C$18/H43,1)*$C$21)</f>
        <v>7233.2</v>
      </c>
      <c r="D43" s="239">
        <f t="shared" si="2"/>
        <v>7233.2</v>
      </c>
      <c r="E43" s="30" t="s">
        <v>161</v>
      </c>
      <c r="F43" s="25">
        <v>2</v>
      </c>
      <c r="G43" s="25">
        <v>2</v>
      </c>
      <c r="H43" s="31">
        <v>0.75</v>
      </c>
    </row>
    <row r="44" spans="1:12" ht="15" customHeight="1" x14ac:dyDescent="0.2">
      <c r="A44" s="243" t="s">
        <v>162</v>
      </c>
      <c r="B44" s="239">
        <f>SUM(B39:B43)</f>
        <v>55639.999999999993</v>
      </c>
      <c r="C44" s="239">
        <f>SUM(C39:C43)</f>
        <v>28098.2</v>
      </c>
      <c r="D44" s="239">
        <f t="shared" si="2"/>
        <v>55639.999999999993</v>
      </c>
      <c r="E44" s="30" t="s">
        <v>163</v>
      </c>
      <c r="F44" s="239">
        <f>SUM(F39:F43)</f>
        <v>20</v>
      </c>
      <c r="G44" s="239">
        <f>SUM(G39:G43)</f>
        <v>10</v>
      </c>
    </row>
    <row r="46" spans="1:12" ht="15" customHeight="1" x14ac:dyDescent="0.2">
      <c r="A46" s="1" t="s">
        <v>164</v>
      </c>
      <c r="B46" s="1"/>
      <c r="C46" s="1"/>
      <c r="D46" s="188" t="s">
        <v>165</v>
      </c>
      <c r="E46" s="148"/>
      <c r="F46" s="1"/>
      <c r="G46" s="1"/>
      <c r="H46" s="1"/>
      <c r="I46" s="1"/>
      <c r="J46" s="1"/>
      <c r="K46" s="1"/>
      <c r="L46" s="1"/>
    </row>
    <row r="47" spans="1:12" ht="15" customHeight="1" x14ac:dyDescent="0.2">
      <c r="A47" s="1" t="s">
        <v>166</v>
      </c>
      <c r="B47" s="32">
        <v>0.04</v>
      </c>
      <c r="C47" s="1"/>
      <c r="D47" s="218" t="s">
        <v>167</v>
      </c>
      <c r="E47" s="171">
        <v>1</v>
      </c>
      <c r="F47" s="1"/>
      <c r="G47" s="1"/>
      <c r="H47" s="1"/>
      <c r="I47" s="1"/>
      <c r="J47" s="1"/>
      <c r="K47" s="1"/>
      <c r="L47" s="1"/>
    </row>
    <row r="48" spans="1:12" ht="15" customHeight="1" x14ac:dyDescent="0.2">
      <c r="A48" s="234" t="s">
        <v>168</v>
      </c>
      <c r="B48" s="236">
        <v>0.12</v>
      </c>
      <c r="D48" s="218" t="s">
        <v>169</v>
      </c>
      <c r="E48" s="171">
        <v>1</v>
      </c>
    </row>
    <row r="49" spans="1:12" ht="15" customHeight="1" x14ac:dyDescent="0.2">
      <c r="A49" s="234" t="s">
        <v>170</v>
      </c>
      <c r="B49" s="236">
        <v>0.09</v>
      </c>
      <c r="D49" s="144" t="s">
        <v>171</v>
      </c>
    </row>
    <row r="50" spans="1:12" ht="15" customHeight="1" x14ac:dyDescent="0.2">
      <c r="A50" s="234" t="s">
        <v>172</v>
      </c>
      <c r="B50" s="235">
        <v>375000</v>
      </c>
    </row>
    <row r="51" spans="1:12" ht="15" customHeight="1" x14ac:dyDescent="0.2">
      <c r="A51" s="234" t="s">
        <v>173</v>
      </c>
      <c r="B51" s="236">
        <v>0.03</v>
      </c>
    </row>
    <row r="53" spans="1:12" ht="15" customHeight="1" x14ac:dyDescent="0.2">
      <c r="A53" s="1" t="s">
        <v>174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customHeight="1" x14ac:dyDescent="0.2">
      <c r="A54" s="234" t="s">
        <v>175</v>
      </c>
      <c r="B54" s="236">
        <v>0.4</v>
      </c>
    </row>
    <row r="55" spans="1:12" ht="15" customHeight="1" x14ac:dyDescent="0.2">
      <c r="A55" s="234" t="s">
        <v>147</v>
      </c>
      <c r="B55" s="236">
        <v>0.4</v>
      </c>
    </row>
    <row r="56" spans="1:12" ht="15" customHeight="1" x14ac:dyDescent="0.2">
      <c r="A56" s="234" t="s">
        <v>176</v>
      </c>
      <c r="B56" s="236">
        <v>0.4</v>
      </c>
    </row>
    <row r="57" spans="1:12" ht="15" customHeight="1" x14ac:dyDescent="0.2">
      <c r="A57" s="234" t="s">
        <v>150</v>
      </c>
      <c r="B57" s="236">
        <v>0.4</v>
      </c>
    </row>
    <row r="58" spans="1:12" ht="15" customHeight="1" x14ac:dyDescent="0.2">
      <c r="A58" s="234" t="s">
        <v>177</v>
      </c>
      <c r="B58" s="236">
        <v>0.2</v>
      </c>
    </row>
    <row r="59" spans="1:12" ht="15" customHeight="1" x14ac:dyDescent="0.2">
      <c r="A59" s="222" t="s">
        <v>178</v>
      </c>
      <c r="B59" s="33">
        <v>-0.1</v>
      </c>
      <c r="D59" s="34" t="s">
        <v>179</v>
      </c>
    </row>
    <row r="60" spans="1:12" ht="15" customHeight="1" x14ac:dyDescent="0.2">
      <c r="A60" s="222" t="s">
        <v>180</v>
      </c>
      <c r="B60" s="35">
        <v>3</v>
      </c>
      <c r="D60" s="34" t="s">
        <v>181</v>
      </c>
    </row>
    <row r="61" spans="1:12" ht="15" customHeight="1" x14ac:dyDescent="0.2">
      <c r="A61" s="1" t="s">
        <v>182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customHeight="1" x14ac:dyDescent="0.2">
      <c r="A62" s="234" t="s">
        <v>183</v>
      </c>
      <c r="B62" s="236">
        <v>0.23</v>
      </c>
    </row>
    <row r="63" spans="1:12" ht="15" customHeight="1" x14ac:dyDescent="0.2">
      <c r="A63" s="674" t="s">
        <v>184</v>
      </c>
      <c r="B63" s="675">
        <v>0.05</v>
      </c>
    </row>
    <row r="64" spans="1:12" ht="15" customHeight="1" x14ac:dyDescent="0.2">
      <c r="A64" s="674" t="s">
        <v>185</v>
      </c>
      <c r="B64" s="675">
        <v>0.12</v>
      </c>
    </row>
    <row r="65" spans="1:12" ht="15" customHeight="1" x14ac:dyDescent="0.2">
      <c r="A65" s="674" t="s">
        <v>186</v>
      </c>
      <c r="B65" s="675">
        <v>0.2</v>
      </c>
    </row>
    <row r="66" spans="1:12" ht="15" customHeight="1" x14ac:dyDescent="0.2">
      <c r="A66" s="234" t="s">
        <v>187</v>
      </c>
      <c r="B66" s="236">
        <v>0.2</v>
      </c>
    </row>
    <row r="67" spans="1:12" ht="15" customHeight="1" x14ac:dyDescent="0.2">
      <c r="A67" s="234" t="s">
        <v>188</v>
      </c>
      <c r="B67" s="236">
        <v>0.25</v>
      </c>
    </row>
    <row r="68" spans="1:12" ht="15" customHeight="1" x14ac:dyDescent="0.2">
      <c r="A68" s="234" t="s">
        <v>189</v>
      </c>
      <c r="B68" s="236">
        <v>0.02</v>
      </c>
    </row>
    <row r="69" spans="1:12" ht="15" customHeight="1" x14ac:dyDescent="0.2">
      <c r="A69" s="234" t="s">
        <v>190</v>
      </c>
      <c r="B69" s="236">
        <v>0.01</v>
      </c>
    </row>
    <row r="70" spans="1:12" ht="15" customHeight="1" x14ac:dyDescent="0.2">
      <c r="A70" s="234" t="s">
        <v>191</v>
      </c>
      <c r="B70" s="236">
        <v>0.02</v>
      </c>
    </row>
    <row r="71" spans="1:12" ht="15" customHeight="1" x14ac:dyDescent="0.2">
      <c r="A71" s="234" t="s">
        <v>192</v>
      </c>
      <c r="B71" s="236">
        <v>0.15</v>
      </c>
      <c r="D71" s="36" t="s">
        <v>193</v>
      </c>
    </row>
    <row r="72" spans="1:12" ht="15" customHeight="1" x14ac:dyDescent="0.2">
      <c r="A72" s="234" t="s">
        <v>194</v>
      </c>
      <c r="B72" s="236">
        <v>0.1</v>
      </c>
      <c r="D72" s="36" t="s">
        <v>193</v>
      </c>
    </row>
    <row r="73" spans="1:12" ht="15" customHeight="1" x14ac:dyDescent="0.2">
      <c r="A73" s="234" t="s">
        <v>195</v>
      </c>
      <c r="B73" s="236">
        <v>0.02</v>
      </c>
    </row>
    <row r="75" spans="1:12" ht="15" customHeight="1" x14ac:dyDescent="0.2">
      <c r="A75" s="1" t="s">
        <v>196</v>
      </c>
      <c r="B75" s="22" t="s">
        <v>106</v>
      </c>
      <c r="C75" s="22" t="s">
        <v>107</v>
      </c>
      <c r="D75" s="22" t="s">
        <v>197</v>
      </c>
      <c r="E75" s="22" t="s">
        <v>198</v>
      </c>
      <c r="F75" s="1"/>
      <c r="G75" s="1"/>
      <c r="H75" s="1"/>
      <c r="I75" s="1"/>
      <c r="J75" s="1"/>
      <c r="K75" s="1"/>
      <c r="L75" s="1"/>
    </row>
    <row r="76" spans="1:12" ht="15" customHeight="1" x14ac:dyDescent="0.2">
      <c r="A76" s="234" t="s">
        <v>199</v>
      </c>
      <c r="B76" s="235">
        <v>48000</v>
      </c>
      <c r="C76" s="223">
        <v>36000</v>
      </c>
      <c r="D76" s="223">
        <f t="shared" ref="D76:D99" si="3">IF($B$5=1,B76,C76)</f>
        <v>48000</v>
      </c>
      <c r="E76" s="222" t="s">
        <v>200</v>
      </c>
    </row>
    <row r="77" spans="1:12" ht="15" customHeight="1" x14ac:dyDescent="0.2">
      <c r="A77" s="234" t="s">
        <v>201</v>
      </c>
      <c r="B77" s="235">
        <v>24000</v>
      </c>
      <c r="C77" s="223">
        <v>20000</v>
      </c>
      <c r="D77" s="223">
        <f t="shared" si="3"/>
        <v>24000</v>
      </c>
      <c r="E77" s="222" t="s">
        <v>202</v>
      </c>
    </row>
    <row r="78" spans="1:12" ht="15" customHeight="1" x14ac:dyDescent="0.2">
      <c r="A78" s="234" t="s">
        <v>203</v>
      </c>
      <c r="B78" s="235">
        <v>12000</v>
      </c>
      <c r="C78" s="223">
        <v>12000</v>
      </c>
      <c r="D78" s="223">
        <f t="shared" si="3"/>
        <v>12000</v>
      </c>
      <c r="E78" s="222" t="s">
        <v>204</v>
      </c>
    </row>
    <row r="79" spans="1:12" ht="15" customHeight="1" x14ac:dyDescent="0.2">
      <c r="A79" s="234" t="s">
        <v>205</v>
      </c>
      <c r="B79" s="235">
        <v>18000</v>
      </c>
      <c r="C79" s="223">
        <v>14000</v>
      </c>
      <c r="D79" s="223">
        <f t="shared" si="3"/>
        <v>18000</v>
      </c>
      <c r="E79" s="222" t="s">
        <v>206</v>
      </c>
    </row>
    <row r="80" spans="1:12" ht="15" customHeight="1" x14ac:dyDescent="0.2">
      <c r="A80" s="234" t="s">
        <v>207</v>
      </c>
      <c r="B80" s="235">
        <v>18000</v>
      </c>
      <c r="C80" s="223">
        <v>14000</v>
      </c>
      <c r="D80" s="223">
        <f t="shared" si="3"/>
        <v>18000</v>
      </c>
      <c r="E80" s="222" t="s">
        <v>206</v>
      </c>
    </row>
    <row r="81" spans="1:5" ht="15" customHeight="1" x14ac:dyDescent="0.2">
      <c r="A81" s="234" t="s">
        <v>208</v>
      </c>
      <c r="B81" s="235">
        <v>42000</v>
      </c>
      <c r="C81" s="223">
        <v>35000</v>
      </c>
      <c r="D81" s="223">
        <f t="shared" si="3"/>
        <v>42000</v>
      </c>
      <c r="E81" s="222" t="s">
        <v>209</v>
      </c>
    </row>
    <row r="82" spans="1:5" ht="15" customHeight="1" x14ac:dyDescent="0.2">
      <c r="A82" s="234" t="s">
        <v>210</v>
      </c>
      <c r="B82" s="235">
        <v>12000</v>
      </c>
      <c r="C82" s="223">
        <v>12000</v>
      </c>
      <c r="D82" s="223">
        <f t="shared" si="3"/>
        <v>12000</v>
      </c>
      <c r="E82" s="222" t="s">
        <v>211</v>
      </c>
    </row>
    <row r="83" spans="1:5" ht="15" customHeight="1" x14ac:dyDescent="0.2">
      <c r="A83" s="234" t="s">
        <v>212</v>
      </c>
      <c r="B83" s="235">
        <v>180000</v>
      </c>
      <c r="C83" s="223">
        <v>180000</v>
      </c>
      <c r="D83" s="223">
        <f t="shared" si="3"/>
        <v>180000</v>
      </c>
      <c r="E83" s="222" t="s">
        <v>213</v>
      </c>
    </row>
    <row r="84" spans="1:5" ht="15" customHeight="1" x14ac:dyDescent="0.2">
      <c r="A84" s="234" t="s">
        <v>214</v>
      </c>
      <c r="B84" s="235">
        <v>60000</v>
      </c>
      <c r="C84" s="223">
        <v>60000</v>
      </c>
      <c r="D84" s="223">
        <f t="shared" si="3"/>
        <v>60000</v>
      </c>
      <c r="E84" s="222" t="s">
        <v>213</v>
      </c>
    </row>
    <row r="85" spans="1:5" ht="15" customHeight="1" x14ac:dyDescent="0.2">
      <c r="A85" s="234" t="s">
        <v>215</v>
      </c>
      <c r="B85" s="235">
        <v>60000</v>
      </c>
      <c r="C85" s="223">
        <v>0</v>
      </c>
      <c r="D85" s="223">
        <f t="shared" si="3"/>
        <v>60000</v>
      </c>
      <c r="E85" s="222" t="s">
        <v>216</v>
      </c>
    </row>
    <row r="86" spans="1:5" ht="15" customHeight="1" x14ac:dyDescent="0.2">
      <c r="A86" s="234" t="s">
        <v>217</v>
      </c>
      <c r="B86" s="235">
        <v>168000</v>
      </c>
      <c r="C86" s="223">
        <v>84000</v>
      </c>
      <c r="D86" s="223">
        <f t="shared" si="3"/>
        <v>168000</v>
      </c>
      <c r="E86" s="222" t="s">
        <v>218</v>
      </c>
    </row>
    <row r="87" spans="1:5" ht="15" customHeight="1" x14ac:dyDescent="0.2">
      <c r="A87" s="234" t="s">
        <v>219</v>
      </c>
      <c r="B87" s="235">
        <v>24000</v>
      </c>
      <c r="C87" s="223">
        <v>24000</v>
      </c>
      <c r="D87" s="223">
        <f t="shared" si="3"/>
        <v>24000</v>
      </c>
      <c r="E87" s="222" t="s">
        <v>220</v>
      </c>
    </row>
    <row r="88" spans="1:5" ht="15" customHeight="1" x14ac:dyDescent="0.2">
      <c r="A88" s="234" t="s">
        <v>221</v>
      </c>
      <c r="B88" s="235">
        <v>24000</v>
      </c>
      <c r="C88" s="223">
        <v>24000</v>
      </c>
      <c r="D88" s="223">
        <f t="shared" si="3"/>
        <v>24000</v>
      </c>
      <c r="E88" s="222" t="s">
        <v>220</v>
      </c>
    </row>
    <row r="89" spans="1:5" ht="15" customHeight="1" x14ac:dyDescent="0.2">
      <c r="A89" s="234" t="s">
        <v>222</v>
      </c>
      <c r="B89" s="235">
        <v>120000</v>
      </c>
      <c r="C89" s="223">
        <v>120000</v>
      </c>
      <c r="D89" s="223">
        <f t="shared" si="3"/>
        <v>120000</v>
      </c>
      <c r="E89" s="222" t="s">
        <v>213</v>
      </c>
    </row>
    <row r="90" spans="1:5" ht="15" customHeight="1" x14ac:dyDescent="0.2">
      <c r="A90" s="234" t="s">
        <v>223</v>
      </c>
      <c r="B90" s="235">
        <v>18000</v>
      </c>
      <c r="C90" s="223">
        <v>18000</v>
      </c>
      <c r="D90" s="223">
        <f t="shared" si="3"/>
        <v>18000</v>
      </c>
      <c r="E90" s="222" t="s">
        <v>224</v>
      </c>
    </row>
    <row r="91" spans="1:5" ht="15" customHeight="1" x14ac:dyDescent="0.2">
      <c r="A91" s="234" t="s">
        <v>225</v>
      </c>
      <c r="B91" s="235">
        <v>432000</v>
      </c>
      <c r="C91" s="223">
        <v>360000</v>
      </c>
      <c r="D91" s="223">
        <f t="shared" si="3"/>
        <v>432000</v>
      </c>
      <c r="E91" s="222" t="s">
        <v>226</v>
      </c>
    </row>
    <row r="92" spans="1:5" ht="15" customHeight="1" x14ac:dyDescent="0.2">
      <c r="A92" s="234" t="s">
        <v>227</v>
      </c>
      <c r="B92" s="235">
        <v>84000</v>
      </c>
      <c r="C92" s="223">
        <v>72000</v>
      </c>
      <c r="D92" s="223">
        <f t="shared" si="3"/>
        <v>84000</v>
      </c>
      <c r="E92" s="222" t="s">
        <v>228</v>
      </c>
    </row>
    <row r="93" spans="1:5" ht="15" customHeight="1" x14ac:dyDescent="0.2">
      <c r="A93" s="234" t="s">
        <v>229</v>
      </c>
      <c r="B93" s="235">
        <v>60000</v>
      </c>
      <c r="C93" s="223">
        <v>42000</v>
      </c>
      <c r="D93" s="223">
        <f t="shared" si="3"/>
        <v>60000</v>
      </c>
      <c r="E93" s="222" t="s">
        <v>230</v>
      </c>
    </row>
    <row r="94" spans="1:5" ht="15" customHeight="1" x14ac:dyDescent="0.2">
      <c r="A94" s="234" t="s">
        <v>231</v>
      </c>
      <c r="B94" s="235">
        <v>60000</v>
      </c>
      <c r="C94" s="223">
        <v>50000</v>
      </c>
      <c r="D94" s="223">
        <f t="shared" si="3"/>
        <v>60000</v>
      </c>
      <c r="E94" s="222" t="s">
        <v>232</v>
      </c>
    </row>
    <row r="95" spans="1:5" ht="15" customHeight="1" x14ac:dyDescent="0.2">
      <c r="A95" s="234" t="s">
        <v>233</v>
      </c>
      <c r="B95" s="235">
        <v>12000</v>
      </c>
      <c r="C95" s="223">
        <v>10000</v>
      </c>
      <c r="D95" s="223">
        <f t="shared" si="3"/>
        <v>12000</v>
      </c>
      <c r="E95" s="222" t="s">
        <v>234</v>
      </c>
    </row>
    <row r="96" spans="1:5" ht="15" customHeight="1" x14ac:dyDescent="0.2">
      <c r="A96" s="234" t="s">
        <v>235</v>
      </c>
      <c r="B96" s="235">
        <v>30000</v>
      </c>
      <c r="C96" s="223">
        <v>25000</v>
      </c>
      <c r="D96" s="223">
        <f t="shared" si="3"/>
        <v>30000</v>
      </c>
      <c r="E96" s="222" t="s">
        <v>236</v>
      </c>
    </row>
    <row r="97" spans="1:13" ht="15" customHeight="1" x14ac:dyDescent="0.2">
      <c r="A97" s="234" t="s">
        <v>237</v>
      </c>
      <c r="B97" s="235">
        <v>20000</v>
      </c>
      <c r="C97" s="223">
        <v>15000</v>
      </c>
      <c r="D97" s="223">
        <f t="shared" si="3"/>
        <v>20000</v>
      </c>
      <c r="E97" s="222" t="s">
        <v>238</v>
      </c>
    </row>
    <row r="98" spans="1:13" ht="15" customHeight="1" x14ac:dyDescent="0.2">
      <c r="A98" s="234" t="s">
        <v>239</v>
      </c>
      <c r="B98" s="235">
        <v>12000</v>
      </c>
      <c r="C98" s="223">
        <v>10000</v>
      </c>
      <c r="D98" s="223">
        <f t="shared" si="3"/>
        <v>12000</v>
      </c>
      <c r="E98" s="222" t="s">
        <v>240</v>
      </c>
    </row>
    <row r="99" spans="1:13" ht="15" customHeight="1" x14ac:dyDescent="0.2">
      <c r="A99" s="26" t="s">
        <v>241</v>
      </c>
      <c r="B99" s="37">
        <f>SUM(B76:B98)</f>
        <v>1538000</v>
      </c>
      <c r="C99" s="37">
        <f>SUM(C76:C98)</f>
        <v>1237000</v>
      </c>
      <c r="D99" s="37">
        <f t="shared" si="3"/>
        <v>1538000</v>
      </c>
      <c r="E99" s="222" t="s">
        <v>242</v>
      </c>
    </row>
    <row r="101" spans="1:13" ht="15" customHeight="1" x14ac:dyDescent="0.2">
      <c r="A101" s="415"/>
      <c r="B101" s="415"/>
      <c r="C101" s="415"/>
      <c r="D101" s="415"/>
      <c r="E101" s="415"/>
      <c r="F101" s="415"/>
      <c r="G101" s="415"/>
      <c r="H101" s="415"/>
      <c r="I101" s="415"/>
      <c r="J101" s="415"/>
      <c r="K101" s="415"/>
      <c r="L101" s="415"/>
      <c r="M101" s="417"/>
    </row>
    <row r="102" spans="1:13" ht="15" customHeight="1" x14ac:dyDescent="0.2">
      <c r="A102" s="415"/>
      <c r="B102" s="416"/>
      <c r="C102" s="416"/>
      <c r="D102" s="416"/>
      <c r="E102" s="416"/>
      <c r="F102" s="416"/>
      <c r="G102" s="416"/>
      <c r="H102" s="416"/>
      <c r="I102" s="416"/>
      <c r="J102" s="416"/>
      <c r="K102" s="416"/>
      <c r="L102" s="494"/>
      <c r="M102" s="417"/>
    </row>
    <row r="103" spans="1:13" ht="15" customHeight="1" x14ac:dyDescent="0.2">
      <c r="A103" s="415"/>
      <c r="B103" s="367"/>
      <c r="C103" s="367"/>
      <c r="D103" s="367"/>
      <c r="E103" s="367"/>
      <c r="F103" s="367"/>
      <c r="G103" s="367"/>
      <c r="H103" s="367"/>
      <c r="I103" s="367"/>
      <c r="J103" s="367"/>
      <c r="K103" s="367"/>
      <c r="L103" s="417"/>
      <c r="M103" s="417"/>
    </row>
    <row r="104" spans="1:13" ht="15" customHeight="1" x14ac:dyDescent="0.2">
      <c r="A104" s="417"/>
      <c r="B104" s="417"/>
      <c r="C104" s="417"/>
      <c r="D104" s="417"/>
      <c r="E104" s="417"/>
      <c r="F104" s="417"/>
      <c r="G104" s="417"/>
      <c r="H104" s="417"/>
      <c r="I104" s="417"/>
      <c r="J104" s="417"/>
      <c r="K104" s="417"/>
      <c r="L104" s="417"/>
      <c r="M104" s="417"/>
    </row>
    <row r="105" spans="1:13" ht="15" customHeight="1" x14ac:dyDescent="0.2">
      <c r="A105" s="1" t="s">
        <v>243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3" ht="15" customHeight="1" x14ac:dyDescent="0.2">
      <c r="A106" s="234" t="s">
        <v>244</v>
      </c>
      <c r="B106" s="235">
        <v>45</v>
      </c>
    </row>
    <row r="107" spans="1:13" ht="15" customHeight="1" x14ac:dyDescent="0.2">
      <c r="A107" s="234" t="s">
        <v>245</v>
      </c>
      <c r="B107" s="235">
        <v>30</v>
      </c>
    </row>
    <row r="108" spans="1:13" ht="15" customHeight="1" x14ac:dyDescent="0.2">
      <c r="A108" s="234" t="s">
        <v>246</v>
      </c>
      <c r="B108" s="235">
        <v>5</v>
      </c>
    </row>
    <row r="109" spans="1:13" ht="15" customHeight="1" x14ac:dyDescent="0.2">
      <c r="A109" s="234" t="s">
        <v>247</v>
      </c>
      <c r="B109" s="235">
        <v>30</v>
      </c>
    </row>
    <row r="110" spans="1:13" ht="15" customHeight="1" x14ac:dyDescent="0.2">
      <c r="A110" s="234" t="s">
        <v>248</v>
      </c>
      <c r="B110" s="236">
        <v>0.25</v>
      </c>
    </row>
    <row r="111" spans="1:13" ht="15" customHeight="1" x14ac:dyDescent="0.2">
      <c r="A111" s="234" t="s">
        <v>249</v>
      </c>
      <c r="B111" s="236">
        <v>0.55000000000000004</v>
      </c>
    </row>
    <row r="113" spans="1:12" ht="15" customHeight="1" x14ac:dyDescent="0.2">
      <c r="A113" s="1" t="s">
        <v>250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customHeight="1" x14ac:dyDescent="0.2">
      <c r="A114" s="234" t="s">
        <v>251</v>
      </c>
      <c r="B114" s="235">
        <v>6200000</v>
      </c>
      <c r="C114" s="235">
        <v>4500000</v>
      </c>
      <c r="D114" s="235">
        <f t="shared" ref="D114:D119" si="4">IF($B$5=1,B114,C114)</f>
        <v>6200000</v>
      </c>
    </row>
    <row r="115" spans="1:12" ht="15" customHeight="1" x14ac:dyDescent="0.2">
      <c r="A115" s="234" t="s">
        <v>252</v>
      </c>
      <c r="B115" s="236">
        <v>0.25</v>
      </c>
      <c r="C115" s="236">
        <v>0.25</v>
      </c>
      <c r="D115" s="236">
        <f t="shared" si="4"/>
        <v>0.25</v>
      </c>
    </row>
    <row r="116" spans="1:12" ht="15" customHeight="1" x14ac:dyDescent="0.2">
      <c r="A116" s="234" t="s">
        <v>253</v>
      </c>
      <c r="B116" s="236">
        <v>4.4999999999999998E-2</v>
      </c>
      <c r="C116" s="236">
        <v>4.4999999999999998E-2</v>
      </c>
      <c r="D116" s="236">
        <f t="shared" si="4"/>
        <v>4.4999999999999998E-2</v>
      </c>
    </row>
    <row r="117" spans="1:12" ht="15" customHeight="1" x14ac:dyDescent="0.2">
      <c r="A117" s="234" t="s">
        <v>254</v>
      </c>
      <c r="B117" s="235">
        <v>20</v>
      </c>
      <c r="C117" s="235">
        <v>20</v>
      </c>
      <c r="D117" s="235">
        <f t="shared" si="4"/>
        <v>20</v>
      </c>
    </row>
    <row r="118" spans="1:12" ht="15" customHeight="1" x14ac:dyDescent="0.2">
      <c r="A118" s="234" t="s">
        <v>255</v>
      </c>
      <c r="B118" s="236">
        <v>0.03</v>
      </c>
      <c r="C118" s="236">
        <v>0.03</v>
      </c>
      <c r="D118" s="236">
        <f t="shared" si="4"/>
        <v>0.03</v>
      </c>
    </row>
    <row r="119" spans="1:12" ht="15" customHeight="1" x14ac:dyDescent="0.2">
      <c r="A119" s="234" t="s">
        <v>256</v>
      </c>
      <c r="B119" s="236">
        <v>0.01</v>
      </c>
      <c r="C119" s="236">
        <v>0.01</v>
      </c>
      <c r="D119" s="236">
        <f t="shared" si="4"/>
        <v>0.01</v>
      </c>
    </row>
    <row r="121" spans="1:12" ht="15" customHeight="1" x14ac:dyDescent="0.2">
      <c r="A121" s="680" t="s">
        <v>257</v>
      </c>
      <c r="B121" s="681"/>
      <c r="C121" s="681"/>
      <c r="D121" s="681"/>
      <c r="E121" s="681"/>
      <c r="F121" s="681"/>
      <c r="G121" s="681"/>
      <c r="H121" s="681"/>
      <c r="I121" s="681"/>
      <c r="J121" s="681"/>
      <c r="K121" s="681"/>
      <c r="L121" s="682"/>
    </row>
    <row r="122" spans="1:12" ht="15" customHeight="1" x14ac:dyDescent="0.2">
      <c r="A122" s="244" t="s">
        <v>105</v>
      </c>
      <c r="B122" s="244" t="s">
        <v>78</v>
      </c>
      <c r="C122" s="244" t="s">
        <v>79</v>
      </c>
    </row>
    <row r="123" spans="1:12" ht="15" customHeight="1" x14ac:dyDescent="0.2">
      <c r="A123" s="222" t="s">
        <v>258</v>
      </c>
      <c r="B123" s="245">
        <v>7.0000000000000007E-2</v>
      </c>
      <c r="C123" s="222" t="s">
        <v>259</v>
      </c>
    </row>
    <row r="124" spans="1:12" ht="15" customHeight="1" x14ac:dyDescent="0.2">
      <c r="A124" s="222" t="s">
        <v>260</v>
      </c>
      <c r="B124" s="245">
        <v>5.0000000000000001E-3</v>
      </c>
      <c r="C124" s="222" t="s">
        <v>261</v>
      </c>
    </row>
    <row r="125" spans="1:12" ht="15" customHeight="1" x14ac:dyDescent="0.2">
      <c r="A125" s="222" t="s">
        <v>262</v>
      </c>
      <c r="B125" s="245">
        <f>IF($B$6=2,B123,0)</f>
        <v>0</v>
      </c>
      <c r="C125" s="222" t="s">
        <v>263</v>
      </c>
    </row>
    <row r="126" spans="1:12" ht="15" customHeight="1" x14ac:dyDescent="0.2">
      <c r="A126" s="38" t="s">
        <v>264</v>
      </c>
      <c r="B126" s="39">
        <v>1</v>
      </c>
      <c r="C126" s="40" t="s">
        <v>265</v>
      </c>
    </row>
    <row r="127" spans="1:12" ht="15" customHeight="1" x14ac:dyDescent="0.2">
      <c r="A127" s="680" t="s">
        <v>266</v>
      </c>
      <c r="B127" s="681"/>
      <c r="C127" s="681"/>
      <c r="D127" s="681"/>
      <c r="E127" s="681"/>
      <c r="F127" s="681"/>
      <c r="G127" s="681"/>
      <c r="H127" s="681"/>
      <c r="I127" s="681"/>
      <c r="J127" s="681"/>
      <c r="K127" s="681"/>
      <c r="L127" s="682"/>
    </row>
    <row r="128" spans="1:12" ht="15" customHeight="1" x14ac:dyDescent="0.2">
      <c r="A128" s="244" t="s">
        <v>267</v>
      </c>
      <c r="B128" s="244" t="s">
        <v>268</v>
      </c>
      <c r="C128" s="244" t="s">
        <v>79</v>
      </c>
    </row>
    <row r="129" spans="1:12" ht="15" customHeight="1" x14ac:dyDescent="0.2">
      <c r="A129" s="222" t="s">
        <v>269</v>
      </c>
      <c r="B129" s="245">
        <v>0.04</v>
      </c>
      <c r="C129" s="222" t="s">
        <v>270</v>
      </c>
    </row>
    <row r="130" spans="1:12" ht="15" customHeight="1" x14ac:dyDescent="0.2">
      <c r="A130" s="222" t="s">
        <v>271</v>
      </c>
      <c r="B130" s="245">
        <v>0.04</v>
      </c>
      <c r="C130" s="222" t="s">
        <v>272</v>
      </c>
    </row>
    <row r="131" spans="1:12" ht="15" customHeight="1" x14ac:dyDescent="0.2">
      <c r="A131" s="222" t="s">
        <v>273</v>
      </c>
      <c r="B131" s="245">
        <v>0.03</v>
      </c>
      <c r="C131" s="222" t="s">
        <v>274</v>
      </c>
    </row>
    <row r="132" spans="1:12" ht="15" customHeight="1" x14ac:dyDescent="0.2">
      <c r="A132" s="222" t="s">
        <v>275</v>
      </c>
      <c r="B132" s="245">
        <v>0.05</v>
      </c>
      <c r="C132" s="222" t="s">
        <v>276</v>
      </c>
    </row>
    <row r="133" spans="1:12" ht="15" customHeight="1" x14ac:dyDescent="0.2">
      <c r="A133" s="222" t="s">
        <v>277</v>
      </c>
      <c r="B133" s="245">
        <v>0.02</v>
      </c>
      <c r="C133" s="222" t="s">
        <v>278</v>
      </c>
    </row>
    <row r="134" spans="1:12" ht="15" customHeight="1" x14ac:dyDescent="0.2">
      <c r="A134" s="222" t="s">
        <v>279</v>
      </c>
      <c r="B134" s="245">
        <v>0.03</v>
      </c>
      <c r="C134" s="222" t="s">
        <v>280</v>
      </c>
    </row>
    <row r="135" spans="1:12" ht="15" customHeight="1" x14ac:dyDescent="0.2">
      <c r="A135" s="222" t="s">
        <v>281</v>
      </c>
      <c r="B135" s="245">
        <v>0.05</v>
      </c>
      <c r="C135" s="222" t="s">
        <v>282</v>
      </c>
    </row>
    <row r="136" spans="1:12" ht="15" customHeight="1" x14ac:dyDescent="0.2">
      <c r="A136" s="222" t="s">
        <v>283</v>
      </c>
      <c r="B136" s="245">
        <v>0.02</v>
      </c>
      <c r="C136" s="222" t="s">
        <v>284</v>
      </c>
    </row>
    <row r="138" spans="1:12" ht="15" customHeight="1" x14ac:dyDescent="0.2">
      <c r="A138" s="680" t="s">
        <v>285</v>
      </c>
      <c r="B138" s="681"/>
      <c r="C138" s="681"/>
      <c r="D138" s="681"/>
      <c r="E138" s="681"/>
      <c r="F138" s="681"/>
      <c r="G138" s="681"/>
      <c r="H138" s="681"/>
      <c r="I138" s="681"/>
      <c r="J138" s="681"/>
      <c r="K138" s="681"/>
      <c r="L138" s="682"/>
    </row>
    <row r="139" spans="1:12" ht="15" customHeight="1" x14ac:dyDescent="0.2">
      <c r="A139" s="244" t="s">
        <v>286</v>
      </c>
      <c r="B139" s="244" t="s">
        <v>287</v>
      </c>
      <c r="C139" s="244" t="s">
        <v>288</v>
      </c>
      <c r="D139" s="244" t="s">
        <v>289</v>
      </c>
      <c r="E139" s="244" t="s">
        <v>290</v>
      </c>
      <c r="F139" s="244" t="s">
        <v>291</v>
      </c>
      <c r="G139" s="244" t="s">
        <v>45</v>
      </c>
    </row>
    <row r="140" spans="1:12" ht="15" customHeight="1" x14ac:dyDescent="0.2">
      <c r="A140" s="222" t="s">
        <v>212</v>
      </c>
      <c r="B140" s="223">
        <v>15000</v>
      </c>
      <c r="C140" s="223">
        <f t="shared" ref="C140:C145" si="5">B140*12</f>
        <v>180000</v>
      </c>
      <c r="D140" s="246">
        <v>1</v>
      </c>
      <c r="E140" s="223">
        <f t="shared" ref="E140:E145" si="6">C140*D140</f>
        <v>180000</v>
      </c>
      <c r="F140" s="247" t="s">
        <v>292</v>
      </c>
      <c r="G140" s="247" t="s">
        <v>293</v>
      </c>
    </row>
    <row r="141" spans="1:12" ht="15" customHeight="1" x14ac:dyDescent="0.2">
      <c r="A141" s="222" t="s">
        <v>294</v>
      </c>
      <c r="B141" s="223">
        <v>7000</v>
      </c>
      <c r="C141" s="223">
        <f t="shared" si="5"/>
        <v>84000</v>
      </c>
      <c r="D141" s="246">
        <f>IF($B$5=1,2,1)</f>
        <v>2</v>
      </c>
      <c r="E141" s="223">
        <f t="shared" si="6"/>
        <v>168000</v>
      </c>
      <c r="F141" s="247" t="s">
        <v>295</v>
      </c>
      <c r="G141" s="247" t="s">
        <v>296</v>
      </c>
    </row>
    <row r="142" spans="1:12" ht="15" customHeight="1" x14ac:dyDescent="0.2">
      <c r="A142" s="222" t="s">
        <v>297</v>
      </c>
      <c r="B142" s="223">
        <v>10000</v>
      </c>
      <c r="C142" s="223">
        <f t="shared" si="5"/>
        <v>120000</v>
      </c>
      <c r="D142" s="246">
        <v>1</v>
      </c>
      <c r="E142" s="223">
        <f t="shared" si="6"/>
        <v>120000</v>
      </c>
      <c r="F142" s="247" t="s">
        <v>298</v>
      </c>
      <c r="G142" s="247" t="s">
        <v>299</v>
      </c>
    </row>
    <row r="143" spans="1:12" ht="15" customHeight="1" x14ac:dyDescent="0.2">
      <c r="A143" s="222" t="s">
        <v>300</v>
      </c>
      <c r="B143" s="223">
        <v>5000</v>
      </c>
      <c r="C143" s="223">
        <f t="shared" si="5"/>
        <v>60000</v>
      </c>
      <c r="D143" s="246">
        <v>1</v>
      </c>
      <c r="E143" s="223">
        <f t="shared" si="6"/>
        <v>60000</v>
      </c>
      <c r="F143" s="247" t="s">
        <v>301</v>
      </c>
      <c r="G143" s="247" t="s">
        <v>302</v>
      </c>
    </row>
    <row r="144" spans="1:12" ht="15" customHeight="1" x14ac:dyDescent="0.2">
      <c r="A144" s="222" t="s">
        <v>303</v>
      </c>
      <c r="B144" s="223">
        <v>5000</v>
      </c>
      <c r="C144" s="223">
        <f t="shared" si="5"/>
        <v>60000</v>
      </c>
      <c r="D144" s="246">
        <f>IF($B$5=1,1,0)</f>
        <v>1</v>
      </c>
      <c r="E144" s="223">
        <f t="shared" si="6"/>
        <v>60000</v>
      </c>
      <c r="F144" s="247" t="s">
        <v>301</v>
      </c>
      <c r="G144" s="247" t="s">
        <v>302</v>
      </c>
    </row>
    <row r="145" spans="1:12" ht="15" customHeight="1" x14ac:dyDescent="0.2">
      <c r="A145" s="222" t="s">
        <v>304</v>
      </c>
      <c r="B145" s="223">
        <v>5000</v>
      </c>
      <c r="C145" s="223">
        <f t="shared" si="5"/>
        <v>60000</v>
      </c>
      <c r="D145" s="246">
        <v>1</v>
      </c>
      <c r="E145" s="223">
        <f t="shared" si="6"/>
        <v>60000</v>
      </c>
      <c r="F145" s="247" t="s">
        <v>305</v>
      </c>
      <c r="G145" s="247" t="s">
        <v>293</v>
      </c>
    </row>
    <row r="146" spans="1:12" ht="15" customHeight="1" x14ac:dyDescent="0.2">
      <c r="A146" s="26" t="s">
        <v>306</v>
      </c>
      <c r="B146" s="37"/>
      <c r="C146" s="37">
        <f>SUM(C140:C145)</f>
        <v>564000</v>
      </c>
      <c r="D146" s="37"/>
      <c r="E146" s="37">
        <f>SUM(E140:E145)</f>
        <v>648000</v>
      </c>
    </row>
    <row r="148" spans="1:12" ht="15" customHeight="1" x14ac:dyDescent="0.2">
      <c r="A148" s="238" t="s">
        <v>307</v>
      </c>
      <c r="B148" s="29"/>
      <c r="C148" s="29"/>
      <c r="D148" s="29"/>
      <c r="E148" s="29"/>
      <c r="F148" s="29"/>
      <c r="G148" s="29"/>
      <c r="H148" s="29"/>
    </row>
    <row r="149" spans="1:12" ht="15" customHeight="1" x14ac:dyDescent="0.2">
      <c r="A149" s="244" t="s">
        <v>105</v>
      </c>
      <c r="B149" s="244" t="s">
        <v>78</v>
      </c>
      <c r="C149" s="244" t="s">
        <v>79</v>
      </c>
    </row>
    <row r="150" spans="1:12" ht="15" customHeight="1" x14ac:dyDescent="0.2">
      <c r="A150" s="222" t="s">
        <v>308</v>
      </c>
      <c r="B150" s="239">
        <f>D35/12</f>
        <v>2412.8000000000002</v>
      </c>
      <c r="C150" s="222" t="s">
        <v>309</v>
      </c>
      <c r="D150" s="36" t="s">
        <v>310</v>
      </c>
    </row>
    <row r="151" spans="1:12" ht="15" customHeight="1" x14ac:dyDescent="0.2">
      <c r="A151" s="222" t="s">
        <v>311</v>
      </c>
      <c r="B151" s="248">
        <v>0.75</v>
      </c>
      <c r="C151" s="222" t="s">
        <v>312</v>
      </c>
      <c r="D151" s="249" t="s">
        <v>313</v>
      </c>
    </row>
    <row r="152" spans="1:12" ht="15" customHeight="1" x14ac:dyDescent="0.2">
      <c r="A152" s="222" t="s">
        <v>314</v>
      </c>
      <c r="B152" s="239">
        <v>1800</v>
      </c>
      <c r="C152" s="222" t="s">
        <v>315</v>
      </c>
    </row>
    <row r="153" spans="1:12" ht="15" customHeight="1" x14ac:dyDescent="0.2">
      <c r="A153" s="222" t="s">
        <v>316</v>
      </c>
      <c r="B153" s="250">
        <v>0.8</v>
      </c>
      <c r="C153" s="222" t="s">
        <v>317</v>
      </c>
      <c r="D153" s="249" t="s">
        <v>318</v>
      </c>
    </row>
    <row r="154" spans="1:12" ht="15" customHeight="1" x14ac:dyDescent="0.2">
      <c r="A154" s="222" t="s">
        <v>319</v>
      </c>
      <c r="B154" s="245">
        <v>0.03</v>
      </c>
      <c r="C154" s="222" t="s">
        <v>320</v>
      </c>
    </row>
    <row r="155" spans="1:12" ht="15" customHeight="1" x14ac:dyDescent="0.2">
      <c r="A155" s="222" t="s">
        <v>321</v>
      </c>
      <c r="B155" s="245">
        <v>0.3</v>
      </c>
      <c r="C155" s="222" t="s">
        <v>322</v>
      </c>
      <c r="D155" s="222" t="s">
        <v>323</v>
      </c>
      <c r="E155" s="41">
        <v>4</v>
      </c>
      <c r="F155" s="34" t="s">
        <v>324</v>
      </c>
    </row>
    <row r="156" spans="1:12" ht="15" customHeight="1" x14ac:dyDescent="0.2">
      <c r="A156" s="222" t="s">
        <v>325</v>
      </c>
      <c r="B156" s="248">
        <v>2</v>
      </c>
      <c r="C156" s="222" t="s">
        <v>326</v>
      </c>
    </row>
    <row r="157" spans="1:12" ht="15" customHeight="1" x14ac:dyDescent="0.2">
      <c r="A157" s="222" t="s">
        <v>327</v>
      </c>
      <c r="B157" s="245">
        <v>0.15</v>
      </c>
      <c r="C157" s="222" t="s">
        <v>328</v>
      </c>
    </row>
    <row r="158" spans="1:12" ht="15" customHeight="1" x14ac:dyDescent="0.2">
      <c r="A158" s="427" t="s">
        <v>329</v>
      </c>
      <c r="B158" s="462"/>
      <c r="C158" s="463" t="s">
        <v>23</v>
      </c>
      <c r="D158" s="464" t="s">
        <v>24</v>
      </c>
      <c r="E158" s="464" t="s">
        <v>25</v>
      </c>
      <c r="F158" s="464" t="s">
        <v>26</v>
      </c>
      <c r="G158" s="465" t="s">
        <v>27</v>
      </c>
      <c r="H158" s="465" t="s">
        <v>28</v>
      </c>
      <c r="I158" s="465" t="s">
        <v>29</v>
      </c>
      <c r="J158" s="465" t="s">
        <v>30</v>
      </c>
      <c r="K158" s="465" t="s">
        <v>31</v>
      </c>
      <c r="L158" s="465" t="s">
        <v>32</v>
      </c>
    </row>
    <row r="159" spans="1:12" ht="15" customHeight="1" x14ac:dyDescent="0.2">
      <c r="A159" s="477" t="s">
        <v>330</v>
      </c>
      <c r="B159" s="486" t="s">
        <v>331</v>
      </c>
      <c r="C159" s="478">
        <v>0.22900000000000001</v>
      </c>
      <c r="D159" s="479">
        <v>0.36299999999999999</v>
      </c>
      <c r="E159" s="479">
        <v>0.497</v>
      </c>
      <c r="F159" s="479">
        <v>0.55400000000000005</v>
      </c>
      <c r="G159" s="480">
        <v>0.61099999999999999</v>
      </c>
      <c r="H159" s="480">
        <v>0.68799999999999994</v>
      </c>
      <c r="I159" s="480">
        <v>0.76400000000000001</v>
      </c>
      <c r="J159" s="480">
        <v>0.76400000000000001</v>
      </c>
      <c r="K159" s="480">
        <v>0.76400000000000001</v>
      </c>
      <c r="L159" s="480">
        <v>0.76400000000000001</v>
      </c>
    </row>
    <row r="160" spans="1:12" ht="15" customHeight="1" x14ac:dyDescent="0.2">
      <c r="A160" s="475" t="s">
        <v>332</v>
      </c>
      <c r="B160" s="481"/>
      <c r="C160" s="482">
        <f t="shared" ref="C160:L160" si="7">C159*$D$44</f>
        <v>12741.56</v>
      </c>
      <c r="D160" s="483">
        <f t="shared" si="7"/>
        <v>20197.319999999996</v>
      </c>
      <c r="E160" s="483">
        <f t="shared" si="7"/>
        <v>27653.079999999994</v>
      </c>
      <c r="F160" s="483">
        <f t="shared" si="7"/>
        <v>30824.559999999998</v>
      </c>
      <c r="G160" s="484">
        <f t="shared" si="7"/>
        <v>33996.039999999994</v>
      </c>
      <c r="H160" s="484">
        <f t="shared" si="7"/>
        <v>38280.319999999992</v>
      </c>
      <c r="I160" s="484">
        <f t="shared" si="7"/>
        <v>42508.959999999992</v>
      </c>
      <c r="J160" s="484">
        <f t="shared" si="7"/>
        <v>42508.959999999992</v>
      </c>
      <c r="K160" s="484">
        <f t="shared" si="7"/>
        <v>42508.959999999992</v>
      </c>
      <c r="L160" s="484">
        <f t="shared" si="7"/>
        <v>42508.959999999992</v>
      </c>
    </row>
    <row r="161" spans="1:12" ht="15" customHeight="1" x14ac:dyDescent="0.2">
      <c r="A161" s="485" t="s">
        <v>333</v>
      </c>
      <c r="B161" s="487" t="s">
        <v>334</v>
      </c>
      <c r="C161" s="488">
        <f>MAX(0, C160/$B$282 - B228)</f>
        <v>1251.7983739837396</v>
      </c>
      <c r="D161" s="489">
        <f t="shared" ref="D161:L161" si="8">MAX(0, D160/$B$282 - C226 - C227 - C228)</f>
        <v>1059.8382177560966</v>
      </c>
      <c r="E161" s="489">
        <f t="shared" si="8"/>
        <v>1442.4322243577228</v>
      </c>
      <c r="F161" s="489">
        <f t="shared" si="8"/>
        <v>1083.0523724471543</v>
      </c>
      <c r="G161" s="490">
        <f t="shared" si="8"/>
        <v>1130.1241813394299</v>
      </c>
      <c r="H161" s="490">
        <f t="shared" si="8"/>
        <v>1337.1752579446127</v>
      </c>
      <c r="I161" s="490">
        <f t="shared" si="8"/>
        <v>1441.8079586815647</v>
      </c>
      <c r="J161" s="490">
        <f t="shared" si="8"/>
        <v>985.06605991134461</v>
      </c>
      <c r="K161" s="490">
        <f t="shared" si="8"/>
        <v>803.28744202607641</v>
      </c>
      <c r="L161" s="490">
        <f t="shared" si="8"/>
        <v>618.19158489439474</v>
      </c>
    </row>
    <row r="162" spans="1:12" ht="15" customHeight="1" x14ac:dyDescent="0.2">
      <c r="A162" s="471" t="s">
        <v>335</v>
      </c>
      <c r="B162" s="472"/>
      <c r="C162" s="473">
        <f>Capacity!B42</f>
        <v>0.22899999999999998</v>
      </c>
      <c r="D162" s="474">
        <f>Capacity!C42</f>
        <v>0.36299999999999999</v>
      </c>
      <c r="E162" s="474">
        <f>Capacity!D42</f>
        <v>0.49699999999999994</v>
      </c>
      <c r="F162" s="474">
        <f>Capacity!E42</f>
        <v>0.55400000000000005</v>
      </c>
      <c r="G162" s="474">
        <f>Capacity!F42</f>
        <v>0.61099999999999999</v>
      </c>
      <c r="H162" s="474">
        <f>Capacity!G42</f>
        <v>0.68138211382113822</v>
      </c>
      <c r="I162" s="474">
        <f>Capacity!H42</f>
        <v>0.73691056910569108</v>
      </c>
      <c r="J162" s="474">
        <f>Capacity!I42</f>
        <v>0.73691056910569097</v>
      </c>
      <c r="K162" s="474">
        <f>Capacity!J42</f>
        <v>0.73691056910569108</v>
      </c>
      <c r="L162" s="474">
        <f>Capacity!K42</f>
        <v>0.73691056910569108</v>
      </c>
    </row>
    <row r="163" spans="1:12" ht="15" customHeight="1" x14ac:dyDescent="0.2">
      <c r="A163" s="466" t="s">
        <v>336</v>
      </c>
      <c r="B163" s="467"/>
      <c r="C163" s="468">
        <f t="shared" ref="C163:L163" si="9">C162-C159</f>
        <v>0</v>
      </c>
      <c r="D163" s="469">
        <f t="shared" si="9"/>
        <v>0</v>
      </c>
      <c r="E163" s="469">
        <f t="shared" si="9"/>
        <v>0</v>
      </c>
      <c r="F163" s="469">
        <f t="shared" si="9"/>
        <v>0</v>
      </c>
      <c r="G163" s="469">
        <f t="shared" si="9"/>
        <v>0</v>
      </c>
      <c r="H163" s="469">
        <f t="shared" si="9"/>
        <v>-6.6178861788617205E-3</v>
      </c>
      <c r="I163" s="469">
        <f t="shared" si="9"/>
        <v>-2.708943089430893E-2</v>
      </c>
      <c r="J163" s="469">
        <f t="shared" si="9"/>
        <v>-2.7089430894309041E-2</v>
      </c>
      <c r="K163" s="469">
        <f t="shared" si="9"/>
        <v>-2.708943089430893E-2</v>
      </c>
      <c r="L163" s="469">
        <f t="shared" si="9"/>
        <v>-2.708943089430893E-2</v>
      </c>
    </row>
    <row r="164" spans="1:12" ht="15" customHeight="1" x14ac:dyDescent="0.2">
      <c r="A164" s="495" t="s">
        <v>337</v>
      </c>
      <c r="B164" s="496"/>
      <c r="C164" s="497"/>
      <c r="D164" s="498"/>
      <c r="E164" s="498"/>
      <c r="F164" s="498"/>
      <c r="G164" s="498"/>
      <c r="H164" s="498"/>
      <c r="I164" s="498"/>
      <c r="J164" s="498"/>
      <c r="K164" s="498"/>
      <c r="L164" s="498"/>
    </row>
    <row r="165" spans="1:12" ht="15" customHeight="1" x14ac:dyDescent="0.2">
      <c r="A165" s="499" t="s">
        <v>338</v>
      </c>
      <c r="B165" s="500" t="s">
        <v>339</v>
      </c>
      <c r="C165" s="501">
        <f t="shared" ref="C165:K165" si="10">C230*$B$282</f>
        <v>20197.319999999996</v>
      </c>
      <c r="D165" s="502">
        <f t="shared" si="10"/>
        <v>27653.079999999994</v>
      </c>
      <c r="E165" s="502">
        <f t="shared" si="10"/>
        <v>30824.559999999994</v>
      </c>
      <c r="F165" s="502">
        <f t="shared" si="10"/>
        <v>33996.039999999994</v>
      </c>
      <c r="G165" s="502">
        <f t="shared" si="10"/>
        <v>38280.319999999992</v>
      </c>
      <c r="H165" s="502">
        <f t="shared" si="10"/>
        <v>42508.959999999992</v>
      </c>
      <c r="I165" s="502">
        <f t="shared" si="10"/>
        <v>42508.959999999985</v>
      </c>
      <c r="J165" s="502">
        <f t="shared" si="10"/>
        <v>42508.959999999992</v>
      </c>
      <c r="K165" s="502">
        <f t="shared" si="10"/>
        <v>42508.959999999992</v>
      </c>
      <c r="L165" s="502">
        <f>K230*$B$282</f>
        <v>42508.959999999992</v>
      </c>
    </row>
    <row r="166" spans="1:12" ht="15" customHeight="1" x14ac:dyDescent="0.2">
      <c r="A166" s="499" t="s">
        <v>340</v>
      </c>
      <c r="B166" s="496"/>
      <c r="C166" s="503">
        <f t="shared" ref="C166:L166" si="11">C190/$D$44</f>
        <v>0.54476635514018701</v>
      </c>
      <c r="D166" s="504">
        <f t="shared" si="11"/>
        <v>0.56915887850467295</v>
      </c>
      <c r="E166" s="504">
        <f t="shared" si="11"/>
        <v>0.68299065420560767</v>
      </c>
      <c r="F166" s="504">
        <f t="shared" si="11"/>
        <v>0.74803738317757007</v>
      </c>
      <c r="G166" s="504">
        <f t="shared" si="11"/>
        <v>0.79682242990654206</v>
      </c>
      <c r="H166" s="504">
        <f t="shared" si="11"/>
        <v>0.88626168224299084</v>
      </c>
      <c r="I166" s="504">
        <f t="shared" si="11"/>
        <v>0.91065420560747679</v>
      </c>
      <c r="J166" s="504">
        <f t="shared" si="11"/>
        <v>0.91065420560747679</v>
      </c>
      <c r="K166" s="504">
        <f t="shared" si="11"/>
        <v>0.91065420560747679</v>
      </c>
      <c r="L166" s="504">
        <f t="shared" si="11"/>
        <v>0.93504672897196273</v>
      </c>
    </row>
    <row r="167" spans="1:12" ht="15" customHeight="1" x14ac:dyDescent="0.2">
      <c r="A167" s="505" t="s">
        <v>341</v>
      </c>
      <c r="B167" s="467"/>
      <c r="C167" s="506" t="str">
        <f t="shared" ref="C167:L167" si="12">IF(C165&lt;=C190,"Demand",IF(C190&lt;$D$44,"Staff","Room"))</f>
        <v>Demand</v>
      </c>
      <c r="D167" s="507" t="str">
        <f t="shared" si="12"/>
        <v>Demand</v>
      </c>
      <c r="E167" s="507" t="str">
        <f t="shared" si="12"/>
        <v>Demand</v>
      </c>
      <c r="F167" s="507" t="str">
        <f t="shared" si="12"/>
        <v>Demand</v>
      </c>
      <c r="G167" s="507" t="str">
        <f t="shared" si="12"/>
        <v>Demand</v>
      </c>
      <c r="H167" s="507" t="str">
        <f t="shared" si="12"/>
        <v>Demand</v>
      </c>
      <c r="I167" s="507" t="str">
        <f t="shared" si="12"/>
        <v>Demand</v>
      </c>
      <c r="J167" s="507" t="str">
        <f t="shared" si="12"/>
        <v>Demand</v>
      </c>
      <c r="K167" s="507" t="str">
        <f t="shared" si="12"/>
        <v>Demand</v>
      </c>
      <c r="L167" s="507" t="str">
        <f t="shared" si="12"/>
        <v>Demand</v>
      </c>
    </row>
    <row r="168" spans="1:12" ht="15" customHeight="1" x14ac:dyDescent="0.2">
      <c r="A168" s="427" t="s">
        <v>342</v>
      </c>
      <c r="B168" s="211"/>
      <c r="C168" s="218"/>
    </row>
    <row r="169" spans="1:12" ht="15" customHeight="1" x14ac:dyDescent="0.2">
      <c r="A169" s="428" t="s">
        <v>136</v>
      </c>
      <c r="B169" s="429" t="s">
        <v>343</v>
      </c>
      <c r="C169" s="430" t="s">
        <v>23</v>
      </c>
      <c r="D169" s="405" t="s">
        <v>24</v>
      </c>
      <c r="E169" s="405" t="s">
        <v>25</v>
      </c>
      <c r="F169" s="405" t="s">
        <v>26</v>
      </c>
      <c r="G169" s="431" t="s">
        <v>27</v>
      </c>
      <c r="H169" s="431" t="s">
        <v>28</v>
      </c>
      <c r="I169" s="431" t="s">
        <v>29</v>
      </c>
      <c r="J169" s="431" t="s">
        <v>30</v>
      </c>
      <c r="K169" s="431" t="s">
        <v>31</v>
      </c>
      <c r="L169" s="431" t="s">
        <v>32</v>
      </c>
    </row>
    <row r="170" spans="1:12" ht="15" customHeight="1" x14ac:dyDescent="0.2">
      <c r="A170" s="432" t="s">
        <v>344</v>
      </c>
      <c r="B170" s="211"/>
      <c r="C170" s="218"/>
    </row>
    <row r="171" spans="1:12" ht="15" customHeight="1" x14ac:dyDescent="0.2">
      <c r="A171" s="218" t="s">
        <v>345</v>
      </c>
      <c r="B171" s="437">
        <v>3</v>
      </c>
      <c r="C171" s="437">
        <v>0</v>
      </c>
      <c r="D171" s="438">
        <v>0</v>
      </c>
      <c r="E171" s="438">
        <v>0</v>
      </c>
      <c r="F171" s="438">
        <v>0</v>
      </c>
      <c r="G171" s="438">
        <v>0</v>
      </c>
      <c r="H171" s="438">
        <v>0</v>
      </c>
      <c r="I171" s="438">
        <v>0</v>
      </c>
      <c r="J171" s="438">
        <v>0</v>
      </c>
      <c r="K171" s="438">
        <v>0</v>
      </c>
      <c r="L171" s="438">
        <v>0</v>
      </c>
    </row>
    <row r="172" spans="1:12" ht="15" customHeight="1" x14ac:dyDescent="0.2">
      <c r="A172" s="218" t="s">
        <v>346</v>
      </c>
      <c r="B172" s="437">
        <v>9</v>
      </c>
      <c r="C172" s="437">
        <v>0</v>
      </c>
      <c r="D172" s="438">
        <v>0</v>
      </c>
      <c r="E172" s="438">
        <v>3</v>
      </c>
      <c r="F172" s="438">
        <v>1</v>
      </c>
      <c r="G172" s="438">
        <v>2</v>
      </c>
      <c r="H172" s="438">
        <v>2</v>
      </c>
      <c r="I172" s="438">
        <v>1</v>
      </c>
      <c r="J172" s="438">
        <v>0</v>
      </c>
      <c r="K172" s="438">
        <v>0</v>
      </c>
      <c r="L172" s="438">
        <v>1</v>
      </c>
    </row>
    <row r="173" spans="1:12" ht="15" customHeight="1" x14ac:dyDescent="0.2">
      <c r="A173" s="218" t="s">
        <v>347</v>
      </c>
      <c r="B173" s="437">
        <v>3</v>
      </c>
      <c r="C173" s="437">
        <v>0</v>
      </c>
      <c r="D173" s="438">
        <v>0</v>
      </c>
      <c r="E173" s="438">
        <v>1</v>
      </c>
      <c r="F173" s="438">
        <v>1</v>
      </c>
      <c r="G173" s="438">
        <v>0</v>
      </c>
      <c r="H173" s="438">
        <v>1</v>
      </c>
      <c r="I173" s="438">
        <v>0</v>
      </c>
      <c r="J173" s="438">
        <v>0</v>
      </c>
      <c r="K173" s="438">
        <v>0</v>
      </c>
      <c r="L173" s="438">
        <v>0</v>
      </c>
    </row>
    <row r="174" spans="1:12" ht="15" customHeight="1" x14ac:dyDescent="0.2">
      <c r="A174" s="218" t="s">
        <v>348</v>
      </c>
      <c r="B174" s="437">
        <v>2</v>
      </c>
      <c r="C174" s="437">
        <v>1</v>
      </c>
      <c r="D174" s="438">
        <v>1</v>
      </c>
      <c r="E174" s="438">
        <v>1</v>
      </c>
      <c r="F174" s="438">
        <v>1</v>
      </c>
      <c r="G174" s="438">
        <v>0</v>
      </c>
      <c r="H174" s="438">
        <v>1</v>
      </c>
      <c r="I174" s="438">
        <v>0</v>
      </c>
      <c r="J174" s="438">
        <v>0</v>
      </c>
      <c r="K174" s="438">
        <v>0</v>
      </c>
      <c r="L174" s="438">
        <v>0</v>
      </c>
    </row>
    <row r="175" spans="1:12" ht="15" customHeight="1" x14ac:dyDescent="0.2">
      <c r="A175" s="218" t="s">
        <v>349</v>
      </c>
      <c r="B175" s="437">
        <v>2</v>
      </c>
      <c r="C175" s="437">
        <v>0</v>
      </c>
      <c r="D175" s="438">
        <v>0</v>
      </c>
      <c r="E175" s="438">
        <v>0</v>
      </c>
      <c r="F175" s="438">
        <v>0</v>
      </c>
      <c r="G175" s="438">
        <v>0</v>
      </c>
      <c r="H175" s="438">
        <v>0</v>
      </c>
      <c r="I175" s="438">
        <v>0</v>
      </c>
      <c r="J175" s="438">
        <v>0</v>
      </c>
      <c r="K175" s="438">
        <v>0</v>
      </c>
      <c r="L175" s="438">
        <v>0</v>
      </c>
    </row>
    <row r="176" spans="1:12" ht="15" customHeight="1" x14ac:dyDescent="0.2">
      <c r="A176" s="433" t="s">
        <v>350</v>
      </c>
      <c r="B176" s="511"/>
      <c r="C176" s="512">
        <f t="shared" ref="C176:L176" si="13">SUM(C171:C175)</f>
        <v>1</v>
      </c>
      <c r="D176" s="513">
        <f t="shared" si="13"/>
        <v>1</v>
      </c>
      <c r="E176" s="513">
        <f t="shared" si="13"/>
        <v>5</v>
      </c>
      <c r="F176" s="513">
        <f t="shared" si="13"/>
        <v>3</v>
      </c>
      <c r="G176" s="513">
        <f t="shared" si="13"/>
        <v>2</v>
      </c>
      <c r="H176" s="513">
        <f t="shared" si="13"/>
        <v>4</v>
      </c>
      <c r="I176" s="513">
        <f t="shared" si="13"/>
        <v>1</v>
      </c>
      <c r="J176" s="513">
        <f t="shared" si="13"/>
        <v>0</v>
      </c>
      <c r="K176" s="513">
        <f t="shared" si="13"/>
        <v>0</v>
      </c>
      <c r="L176" s="513">
        <f t="shared" si="13"/>
        <v>1</v>
      </c>
    </row>
    <row r="177" spans="1:12" ht="15" customHeight="1" x14ac:dyDescent="0.2">
      <c r="A177" s="434" t="s">
        <v>351</v>
      </c>
      <c r="B177" s="211"/>
      <c r="C177" s="218"/>
    </row>
    <row r="178" spans="1:12" ht="15" customHeight="1" x14ac:dyDescent="0.2">
      <c r="A178" s="218" t="s">
        <v>345</v>
      </c>
      <c r="B178" s="439">
        <f>B171</f>
        <v>3</v>
      </c>
      <c r="C178" s="439">
        <f>$B$171+SUM($C171:C171)</f>
        <v>3</v>
      </c>
      <c r="D178" s="440">
        <f>$B$171+SUM($C171:D171)</f>
        <v>3</v>
      </c>
      <c r="E178" s="440">
        <f>$B$171+SUM($C171:E171)</f>
        <v>3</v>
      </c>
      <c r="F178" s="440">
        <f>$B$171+SUM($C171:F171)</f>
        <v>3</v>
      </c>
      <c r="G178" s="440">
        <f>$B$171+SUM($C171:G171)</f>
        <v>3</v>
      </c>
      <c r="H178" s="440">
        <f>$B$171+SUM($C171:H171)</f>
        <v>3</v>
      </c>
      <c r="I178" s="440">
        <f>$B$171+SUM($C171:I171)</f>
        <v>3</v>
      </c>
      <c r="J178" s="440">
        <f>$B$171+SUM($C171:J171)</f>
        <v>3</v>
      </c>
      <c r="K178" s="440">
        <f>$B$171+SUM($C171:K171)</f>
        <v>3</v>
      </c>
      <c r="L178" s="440">
        <f>$B$171+SUM($C171:L171)</f>
        <v>3</v>
      </c>
    </row>
    <row r="179" spans="1:12" ht="15" customHeight="1" x14ac:dyDescent="0.2">
      <c r="A179" s="218" t="s">
        <v>346</v>
      </c>
      <c r="B179" s="439">
        <f>B172</f>
        <v>9</v>
      </c>
      <c r="C179" s="439">
        <f>$B$172+SUM($C172:C172)</f>
        <v>9</v>
      </c>
      <c r="D179" s="440">
        <f>$B$172+SUM($C172:D172)</f>
        <v>9</v>
      </c>
      <c r="E179" s="440">
        <f>$B$172+SUM($C172:E172)</f>
        <v>12</v>
      </c>
      <c r="F179" s="440">
        <f>$B$172+SUM($C172:F172)</f>
        <v>13</v>
      </c>
      <c r="G179" s="440">
        <f>$B$172+SUM($C172:G172)</f>
        <v>15</v>
      </c>
      <c r="H179" s="440">
        <f>$B$172+SUM($C172:H172)</f>
        <v>17</v>
      </c>
      <c r="I179" s="440">
        <f>$B$172+SUM($C172:I172)</f>
        <v>18</v>
      </c>
      <c r="J179" s="440">
        <f>$B$172+SUM($C172:J172)</f>
        <v>18</v>
      </c>
      <c r="K179" s="440">
        <f>$B$172+SUM($C172:K172)</f>
        <v>18</v>
      </c>
      <c r="L179" s="440">
        <f>$B$172+SUM($C172:L172)</f>
        <v>19</v>
      </c>
    </row>
    <row r="180" spans="1:12" ht="15" customHeight="1" x14ac:dyDescent="0.2">
      <c r="A180" s="218" t="s">
        <v>347</v>
      </c>
      <c r="B180" s="439">
        <f>B173</f>
        <v>3</v>
      </c>
      <c r="C180" s="439">
        <f>$B$173+SUM($C173:C173)</f>
        <v>3</v>
      </c>
      <c r="D180" s="440">
        <f>$B$173+SUM($C173:D173)</f>
        <v>3</v>
      </c>
      <c r="E180" s="440">
        <f>$B$173+SUM($C173:E173)</f>
        <v>4</v>
      </c>
      <c r="F180" s="440">
        <f>$B$173+SUM($C173:F173)</f>
        <v>5</v>
      </c>
      <c r="G180" s="440">
        <f>$B$173+SUM($C173:G173)</f>
        <v>5</v>
      </c>
      <c r="H180" s="440">
        <f>$B$173+SUM($C173:H173)</f>
        <v>6</v>
      </c>
      <c r="I180" s="440">
        <f>$B$173+SUM($C173:I173)</f>
        <v>6</v>
      </c>
      <c r="J180" s="440">
        <f>$B$173+SUM($C173:J173)</f>
        <v>6</v>
      </c>
      <c r="K180" s="440">
        <f>$B$173+SUM($C173:K173)</f>
        <v>6</v>
      </c>
      <c r="L180" s="440">
        <f>$B$173+SUM($C173:L173)</f>
        <v>6</v>
      </c>
    </row>
    <row r="181" spans="1:12" ht="15" customHeight="1" x14ac:dyDescent="0.2">
      <c r="A181" s="218" t="s">
        <v>348</v>
      </c>
      <c r="B181" s="439">
        <f>B174</f>
        <v>2</v>
      </c>
      <c r="C181" s="439">
        <f>$B$174+SUM($C174:C174)</f>
        <v>3</v>
      </c>
      <c r="D181" s="440">
        <f>$B$174+SUM($C174:D174)</f>
        <v>4</v>
      </c>
      <c r="E181" s="440">
        <f>$B$174+SUM($C174:E174)</f>
        <v>5</v>
      </c>
      <c r="F181" s="440">
        <f>$B$174+SUM($C174:F174)</f>
        <v>6</v>
      </c>
      <c r="G181" s="440">
        <f>$B$174+SUM($C174:G174)</f>
        <v>6</v>
      </c>
      <c r="H181" s="440">
        <f>$B$174+SUM($C174:H174)</f>
        <v>7</v>
      </c>
      <c r="I181" s="440">
        <f>$B$174+SUM($C174:I174)</f>
        <v>7</v>
      </c>
      <c r="J181" s="440">
        <f>$B$174+SUM($C174:J174)</f>
        <v>7</v>
      </c>
      <c r="K181" s="440">
        <f>$B$174+SUM($C174:K174)</f>
        <v>7</v>
      </c>
      <c r="L181" s="440">
        <f>$B$174+SUM($C174:L174)</f>
        <v>7</v>
      </c>
    </row>
    <row r="182" spans="1:12" ht="15" customHeight="1" x14ac:dyDescent="0.2">
      <c r="A182" s="218" t="s">
        <v>349</v>
      </c>
      <c r="B182" s="439">
        <f>B175</f>
        <v>2</v>
      </c>
      <c r="C182" s="439">
        <f>$B$175+SUM($C175:C175)</f>
        <v>2</v>
      </c>
      <c r="D182" s="440">
        <f>$B$175+SUM($C175:D175)</f>
        <v>2</v>
      </c>
      <c r="E182" s="440">
        <f>$B$175+SUM($C175:E175)</f>
        <v>2</v>
      </c>
      <c r="F182" s="440">
        <f>$B$175+SUM($C175:F175)</f>
        <v>2</v>
      </c>
      <c r="G182" s="440">
        <f>$B$175+SUM($C175:G175)</f>
        <v>2</v>
      </c>
      <c r="H182" s="440">
        <f>$B$175+SUM($C175:H175)</f>
        <v>2</v>
      </c>
      <c r="I182" s="440">
        <f>$B$175+SUM($C175:I175)</f>
        <v>2</v>
      </c>
      <c r="J182" s="440">
        <f>$B$175+SUM($C175:J175)</f>
        <v>2</v>
      </c>
      <c r="K182" s="440">
        <f>$B$175+SUM($C175:K175)</f>
        <v>2</v>
      </c>
      <c r="L182" s="440">
        <f>$B$175+SUM($C175:L175)</f>
        <v>2</v>
      </c>
    </row>
    <row r="183" spans="1:12" ht="15" customHeight="1" x14ac:dyDescent="0.2">
      <c r="A183" s="433" t="s">
        <v>352</v>
      </c>
      <c r="B183" s="439">
        <f t="shared" ref="B183:L183" si="14">SUM(B178:B182)</f>
        <v>19</v>
      </c>
      <c r="C183" s="439">
        <f t="shared" si="14"/>
        <v>20</v>
      </c>
      <c r="D183" s="440">
        <f t="shared" si="14"/>
        <v>21</v>
      </c>
      <c r="E183" s="440">
        <f t="shared" si="14"/>
        <v>26</v>
      </c>
      <c r="F183" s="440">
        <f t="shared" si="14"/>
        <v>29</v>
      </c>
      <c r="G183" s="440">
        <f t="shared" si="14"/>
        <v>31</v>
      </c>
      <c r="H183" s="440">
        <f t="shared" si="14"/>
        <v>35</v>
      </c>
      <c r="I183" s="440">
        <f t="shared" si="14"/>
        <v>36</v>
      </c>
      <c r="J183" s="440">
        <f t="shared" si="14"/>
        <v>36</v>
      </c>
      <c r="K183" s="440">
        <f t="shared" si="14"/>
        <v>36</v>
      </c>
      <c r="L183" s="440">
        <f t="shared" si="14"/>
        <v>37</v>
      </c>
    </row>
    <row r="184" spans="1:12" ht="15" customHeight="1" x14ac:dyDescent="0.2">
      <c r="A184" s="435" t="s">
        <v>353</v>
      </c>
      <c r="B184" s="211"/>
      <c r="C184" s="218"/>
    </row>
    <row r="185" spans="1:12" ht="15" customHeight="1" x14ac:dyDescent="0.2">
      <c r="A185" s="218" t="s">
        <v>345</v>
      </c>
      <c r="B185" s="217">
        <f>B178*$B$15*H30*$D$19</f>
        <v>6786</v>
      </c>
      <c r="C185" s="217">
        <f>C178*$B$15*H30*$D$19</f>
        <v>6786</v>
      </c>
      <c r="D185" s="441">
        <f>D178*$B$15*H30*$D$19</f>
        <v>6786</v>
      </c>
      <c r="E185" s="441">
        <f>E178*$B$15*H30*$D$19</f>
        <v>6786</v>
      </c>
      <c r="F185" s="441">
        <f>F178*$B$15*H30*$D$19</f>
        <v>6786</v>
      </c>
      <c r="G185" s="441">
        <f>G178*$B$15*H30*$D$19</f>
        <v>6786</v>
      </c>
      <c r="H185" s="441">
        <f>H178*$B$15*H30*$D$19</f>
        <v>6786</v>
      </c>
      <c r="I185" s="441">
        <f>I178*$B$15*H30*$D$19</f>
        <v>6786</v>
      </c>
      <c r="J185" s="441">
        <f>J178*$B$15*H30*$D$19</f>
        <v>6786</v>
      </c>
      <c r="K185" s="441">
        <f>K178*$B$15*H30*$D$19</f>
        <v>6786</v>
      </c>
      <c r="L185" s="441">
        <f>L178*$B$15*H30*$D$19</f>
        <v>6786</v>
      </c>
    </row>
    <row r="186" spans="1:12" ht="15" customHeight="1" x14ac:dyDescent="0.2">
      <c r="A186" s="218" t="s">
        <v>346</v>
      </c>
      <c r="B186" s="217">
        <f>B179*$B$15*H31*$D$19</f>
        <v>12214.8</v>
      </c>
      <c r="C186" s="217">
        <f>C179*$B$15*H31*$D$19</f>
        <v>12214.8</v>
      </c>
      <c r="D186" s="441">
        <f>D179*$B$15*H31*$D$19</f>
        <v>12214.8</v>
      </c>
      <c r="E186" s="441">
        <f>E179*$B$15*H31*$D$19</f>
        <v>16286.4</v>
      </c>
      <c r="F186" s="441">
        <f>F179*$B$15*H31*$D$19</f>
        <v>17643.599999999999</v>
      </c>
      <c r="G186" s="441">
        <f>G179*$B$15*H31*$D$19</f>
        <v>20358</v>
      </c>
      <c r="H186" s="441">
        <f>H179*$B$15*H31*$D$19</f>
        <v>23072.400000000001</v>
      </c>
      <c r="I186" s="441">
        <f>I179*$B$15*H31*$D$19</f>
        <v>24429.599999999999</v>
      </c>
      <c r="J186" s="441">
        <f>J179*$B$15*H31*$D$19</f>
        <v>24429.599999999999</v>
      </c>
      <c r="K186" s="441">
        <f>K179*$B$15*H31*$D$19</f>
        <v>24429.599999999999</v>
      </c>
      <c r="L186" s="441">
        <f>L179*$B$15*H31*$D$19</f>
        <v>25786.799999999999</v>
      </c>
    </row>
    <row r="187" spans="1:12" ht="15" customHeight="1" x14ac:dyDescent="0.2">
      <c r="A187" s="218" t="s">
        <v>347</v>
      </c>
      <c r="B187" s="217">
        <f>B180*$B$15*H32*$D$19</f>
        <v>2714.4</v>
      </c>
      <c r="C187" s="217">
        <f>C180*$B$15*H32*$D$19</f>
        <v>2714.4</v>
      </c>
      <c r="D187" s="441">
        <f>D180*$B$15*H32*$D$19</f>
        <v>2714.4</v>
      </c>
      <c r="E187" s="441">
        <f>E180*$B$15*H32*$D$19</f>
        <v>3619.2</v>
      </c>
      <c r="F187" s="441">
        <f>F180*$B$15*H32*$D$19</f>
        <v>4524</v>
      </c>
      <c r="G187" s="441">
        <f>G180*$B$15*H32*$D$19</f>
        <v>4524</v>
      </c>
      <c r="H187" s="441">
        <f>H180*$B$15*H32*$D$19</f>
        <v>5428.8</v>
      </c>
      <c r="I187" s="441">
        <f>I180*$B$15*H32*$D$19</f>
        <v>5428.8</v>
      </c>
      <c r="J187" s="441">
        <f>J180*$B$15*H32*$D$19</f>
        <v>5428.8</v>
      </c>
      <c r="K187" s="441">
        <f>K180*$B$15*H32*$D$19</f>
        <v>5428.8</v>
      </c>
      <c r="L187" s="441">
        <f>L180*$B$15*H32*$D$19</f>
        <v>5428.8</v>
      </c>
    </row>
    <row r="188" spans="1:12" ht="15" customHeight="1" x14ac:dyDescent="0.2">
      <c r="A188" s="218" t="s">
        <v>348</v>
      </c>
      <c r="B188" s="217">
        <f>B181*$B$15*H33*$D$19</f>
        <v>2714.4</v>
      </c>
      <c r="C188" s="217">
        <f>C181*$B$15*H33*$D$19</f>
        <v>4071.6</v>
      </c>
      <c r="D188" s="441">
        <f>D181*$B$15*H33*$D$19</f>
        <v>5428.8</v>
      </c>
      <c r="E188" s="441">
        <f>E181*$B$15*H33*$D$19</f>
        <v>6786</v>
      </c>
      <c r="F188" s="441">
        <f>F181*$B$15*H33*$D$19</f>
        <v>8143.2</v>
      </c>
      <c r="G188" s="441">
        <f>G181*$B$15*H33*$D$19</f>
        <v>8143.2</v>
      </c>
      <c r="H188" s="441">
        <f>H181*$B$15*H33*$D$19</f>
        <v>9500.4</v>
      </c>
      <c r="I188" s="441">
        <f>I181*$B$15*H33*$D$19</f>
        <v>9500.4</v>
      </c>
      <c r="J188" s="441">
        <f>J181*$B$15*H33*$D$19</f>
        <v>9500.4</v>
      </c>
      <c r="K188" s="441">
        <f>K181*$B$15*H33*$D$19</f>
        <v>9500.4</v>
      </c>
      <c r="L188" s="441">
        <f>L181*$B$15*H33*$D$19</f>
        <v>9500.4</v>
      </c>
    </row>
    <row r="189" spans="1:12" ht="15" customHeight="1" x14ac:dyDescent="0.2">
      <c r="A189" s="218" t="s">
        <v>349</v>
      </c>
      <c r="B189" s="217">
        <f>B182*$B$15*H34*$D$19</f>
        <v>4524</v>
      </c>
      <c r="C189" s="217">
        <f>C182*$B$15*H34*$D$19</f>
        <v>4524</v>
      </c>
      <c r="D189" s="441">
        <f>D182*$B$15*H34*$D$19</f>
        <v>4524</v>
      </c>
      <c r="E189" s="441">
        <f>E182*$B$15*H34*$D$19</f>
        <v>4524</v>
      </c>
      <c r="F189" s="441">
        <f>F182*$B$15*H34*$D$19</f>
        <v>4524</v>
      </c>
      <c r="G189" s="441">
        <f>G182*$B$15*H34*$D$19</f>
        <v>4524</v>
      </c>
      <c r="H189" s="441">
        <f>H182*$B$15*H34*$D$19</f>
        <v>4524</v>
      </c>
      <c r="I189" s="441">
        <f>I182*$B$15*H34*$D$19</f>
        <v>4524</v>
      </c>
      <c r="J189" s="441">
        <f>J182*$B$15*H34*$D$19</f>
        <v>4524</v>
      </c>
      <c r="K189" s="441">
        <f>K182*$B$15*H34*$D$19</f>
        <v>4524</v>
      </c>
      <c r="L189" s="441">
        <f>L182*$B$15*H34*$D$19</f>
        <v>4524</v>
      </c>
    </row>
    <row r="190" spans="1:12" ht="15" customHeight="1" x14ac:dyDescent="0.2">
      <c r="A190" s="433" t="s">
        <v>354</v>
      </c>
      <c r="B190" s="217">
        <f t="shared" ref="B190:L190" si="15">SUM(B185:B189)</f>
        <v>28953.600000000002</v>
      </c>
      <c r="C190" s="217">
        <f t="shared" si="15"/>
        <v>30310.799999999999</v>
      </c>
      <c r="D190" s="441">
        <f t="shared" si="15"/>
        <v>31668</v>
      </c>
      <c r="E190" s="441">
        <f t="shared" si="15"/>
        <v>38001.600000000006</v>
      </c>
      <c r="F190" s="441">
        <f t="shared" si="15"/>
        <v>41620.799999999996</v>
      </c>
      <c r="G190" s="441">
        <f t="shared" si="15"/>
        <v>44335.199999999997</v>
      </c>
      <c r="H190" s="441">
        <f t="shared" si="15"/>
        <v>49311.600000000006</v>
      </c>
      <c r="I190" s="441">
        <f t="shared" si="15"/>
        <v>50668.800000000003</v>
      </c>
      <c r="J190" s="441">
        <f t="shared" si="15"/>
        <v>50668.800000000003</v>
      </c>
      <c r="K190" s="441">
        <f t="shared" si="15"/>
        <v>50668.800000000003</v>
      </c>
      <c r="L190" s="441">
        <f t="shared" si="15"/>
        <v>52026</v>
      </c>
    </row>
    <row r="191" spans="1:12" ht="15" customHeight="1" x14ac:dyDescent="0.2">
      <c r="A191" s="222" t="s">
        <v>355</v>
      </c>
      <c r="B191" s="245">
        <v>0.2</v>
      </c>
      <c r="C191" s="222" t="s">
        <v>356</v>
      </c>
    </row>
    <row r="192" spans="1:12" ht="15" customHeight="1" x14ac:dyDescent="0.2">
      <c r="A192" s="680" t="s">
        <v>357</v>
      </c>
      <c r="B192" s="681"/>
      <c r="C192" s="681"/>
      <c r="D192" s="681"/>
      <c r="E192" s="681"/>
      <c r="F192" s="681"/>
      <c r="G192" s="681"/>
      <c r="H192" s="681"/>
      <c r="I192" s="681"/>
      <c r="J192" s="681"/>
      <c r="K192" s="681"/>
      <c r="L192" s="682"/>
    </row>
    <row r="193" spans="1:9" ht="15" customHeight="1" x14ac:dyDescent="0.2">
      <c r="A193" s="244" t="s">
        <v>358</v>
      </c>
      <c r="B193" s="244" t="s">
        <v>106</v>
      </c>
      <c r="C193" s="244" t="s">
        <v>107</v>
      </c>
      <c r="D193" s="244" t="s">
        <v>197</v>
      </c>
      <c r="E193" s="244" t="s">
        <v>359</v>
      </c>
      <c r="F193" s="243" t="s">
        <v>360</v>
      </c>
      <c r="G193" s="242" t="s">
        <v>106</v>
      </c>
      <c r="H193" s="242" t="s">
        <v>107</v>
      </c>
      <c r="I193" s="242" t="s">
        <v>361</v>
      </c>
    </row>
    <row r="194" spans="1:9" ht="15" customHeight="1" x14ac:dyDescent="0.2">
      <c r="A194" s="222" t="s">
        <v>362</v>
      </c>
      <c r="B194" s="239">
        <v>45</v>
      </c>
      <c r="C194" s="239"/>
      <c r="D194" s="239">
        <f t="shared" ref="D194:D216" si="16">IF($B$5=1,B194,C194)</f>
        <v>45</v>
      </c>
      <c r="E194" s="42" t="s">
        <v>363</v>
      </c>
      <c r="F194" s="43" t="s">
        <v>364</v>
      </c>
      <c r="G194" s="44">
        <f>SUM(B195:B205)</f>
        <v>316</v>
      </c>
      <c r="H194" s="44">
        <f>SUM(C195:C200)</f>
        <v>0</v>
      </c>
      <c r="I194" s="45">
        <f>G194/G201</f>
        <v>0.50967741935483868</v>
      </c>
    </row>
    <row r="195" spans="1:9" ht="15" customHeight="1" x14ac:dyDescent="0.2">
      <c r="A195" s="222" t="s">
        <v>365</v>
      </c>
      <c r="B195" s="239">
        <v>32</v>
      </c>
      <c r="C195" s="239"/>
      <c r="D195" s="239">
        <f t="shared" si="16"/>
        <v>32</v>
      </c>
      <c r="E195" s="46" t="s">
        <v>366</v>
      </c>
      <c r="F195" s="47" t="s">
        <v>367</v>
      </c>
      <c r="G195" s="48">
        <f>B206+B210</f>
        <v>26</v>
      </c>
      <c r="H195" s="48">
        <f>C202</f>
        <v>0</v>
      </c>
      <c r="I195" s="49">
        <f>G195/G201</f>
        <v>4.1935483870967745E-2</v>
      </c>
    </row>
    <row r="196" spans="1:9" ht="15" customHeight="1" x14ac:dyDescent="0.2">
      <c r="A196" s="222" t="s">
        <v>368</v>
      </c>
      <c r="B196" s="239">
        <v>80</v>
      </c>
      <c r="C196" s="239"/>
      <c r="D196" s="239">
        <f t="shared" si="16"/>
        <v>80</v>
      </c>
      <c r="E196" s="46" t="s">
        <v>369</v>
      </c>
      <c r="F196" s="50" t="s">
        <v>370</v>
      </c>
      <c r="G196" s="51">
        <f>B207+B208+B209+B211+B216</f>
        <v>34</v>
      </c>
      <c r="H196" s="51">
        <f>C201+C204+C206</f>
        <v>0</v>
      </c>
      <c r="I196" s="52">
        <f>G196/G201</f>
        <v>5.4838709677419356E-2</v>
      </c>
    </row>
    <row r="197" spans="1:9" ht="15" customHeight="1" x14ac:dyDescent="0.2">
      <c r="A197" s="218" t="s">
        <v>371</v>
      </c>
      <c r="B197" s="217">
        <v>40</v>
      </c>
      <c r="C197" s="217"/>
      <c r="D197" s="217">
        <f t="shared" si="16"/>
        <v>40</v>
      </c>
      <c r="E197" s="423" t="s">
        <v>369</v>
      </c>
      <c r="F197" s="424"/>
      <c r="G197" s="425"/>
      <c r="H197" s="425"/>
      <c r="I197" s="426"/>
    </row>
    <row r="198" spans="1:9" ht="15" customHeight="1" x14ac:dyDescent="0.2">
      <c r="A198" s="218" t="s">
        <v>372</v>
      </c>
      <c r="B198" s="217">
        <v>42</v>
      </c>
      <c r="C198" s="217"/>
      <c r="D198" s="217">
        <f t="shared" si="16"/>
        <v>42</v>
      </c>
      <c r="E198" s="423" t="s">
        <v>366</v>
      </c>
      <c r="F198" s="424"/>
      <c r="G198" s="425"/>
      <c r="H198" s="425"/>
      <c r="I198" s="426"/>
    </row>
    <row r="199" spans="1:9" ht="15" customHeight="1" x14ac:dyDescent="0.2">
      <c r="A199" s="222" t="s">
        <v>373</v>
      </c>
      <c r="B199" s="239">
        <v>30</v>
      </c>
      <c r="C199" s="239"/>
      <c r="D199" s="239">
        <f t="shared" si="16"/>
        <v>30</v>
      </c>
      <c r="E199" s="46" t="s">
        <v>366</v>
      </c>
      <c r="F199" s="53" t="s">
        <v>374</v>
      </c>
      <c r="G199" s="54">
        <f>B194+B214+B215</f>
        <v>175</v>
      </c>
      <c r="H199" s="54">
        <f>C194+C208+C209+C211</f>
        <v>0</v>
      </c>
      <c r="I199" s="55">
        <f>G199/G201</f>
        <v>0.28225806451612906</v>
      </c>
    </row>
    <row r="200" spans="1:9" ht="15" customHeight="1" x14ac:dyDescent="0.2">
      <c r="A200" s="222" t="s">
        <v>375</v>
      </c>
      <c r="B200" s="239">
        <v>14</v>
      </c>
      <c r="C200" s="239"/>
      <c r="D200" s="239">
        <f t="shared" si="16"/>
        <v>14</v>
      </c>
      <c r="E200" s="46" t="s">
        <v>366</v>
      </c>
      <c r="F200" s="56" t="s">
        <v>376</v>
      </c>
      <c r="G200" s="57">
        <f>B218</f>
        <v>39</v>
      </c>
      <c r="H200" s="57">
        <f>C218</f>
        <v>450</v>
      </c>
      <c r="I200" s="58">
        <f>G200/G201</f>
        <v>6.2903225806451607E-2</v>
      </c>
    </row>
    <row r="201" spans="1:9" ht="15" customHeight="1" x14ac:dyDescent="0.2">
      <c r="A201" s="222" t="s">
        <v>377</v>
      </c>
      <c r="B201" s="239">
        <v>28</v>
      </c>
      <c r="C201" s="239"/>
      <c r="D201" s="239">
        <f t="shared" si="16"/>
        <v>28</v>
      </c>
      <c r="E201" s="59" t="s">
        <v>366</v>
      </c>
      <c r="F201" s="60" t="s">
        <v>378</v>
      </c>
      <c r="G201" s="239">
        <f>B9</f>
        <v>620</v>
      </c>
      <c r="H201" s="239">
        <f>C9</f>
        <v>450</v>
      </c>
      <c r="I201" s="245">
        <v>1</v>
      </c>
    </row>
    <row r="202" spans="1:9" ht="15" customHeight="1" x14ac:dyDescent="0.2">
      <c r="A202" s="222" t="s">
        <v>379</v>
      </c>
      <c r="B202" s="239">
        <v>12</v>
      </c>
      <c r="C202" s="239"/>
      <c r="D202" s="239">
        <f t="shared" si="16"/>
        <v>12</v>
      </c>
      <c r="E202" s="61" t="s">
        <v>366</v>
      </c>
      <c r="F202" s="193"/>
      <c r="G202" s="194"/>
      <c r="H202" s="194"/>
      <c r="I202" s="195"/>
    </row>
    <row r="203" spans="1:9" ht="15" customHeight="1" x14ac:dyDescent="0.2">
      <c r="A203" s="218" t="s">
        <v>380</v>
      </c>
      <c r="B203" s="217">
        <v>14</v>
      </c>
      <c r="C203" s="217"/>
      <c r="D203" s="217">
        <f t="shared" si="16"/>
        <v>14</v>
      </c>
      <c r="E203" s="419" t="s">
        <v>366</v>
      </c>
      <c r="F203" s="420"/>
      <c r="G203" s="421"/>
      <c r="H203" s="421"/>
      <c r="I203" s="422"/>
    </row>
    <row r="204" spans="1:9" ht="15" customHeight="1" x14ac:dyDescent="0.2">
      <c r="A204" s="222" t="s">
        <v>381</v>
      </c>
      <c r="B204" s="239">
        <v>16</v>
      </c>
      <c r="C204" s="239"/>
      <c r="D204" s="239">
        <f t="shared" si="16"/>
        <v>16</v>
      </c>
      <c r="E204" s="59" t="s">
        <v>366</v>
      </c>
      <c r="F204" s="36" t="s">
        <v>382</v>
      </c>
    </row>
    <row r="205" spans="1:9" ht="15" customHeight="1" x14ac:dyDescent="0.2">
      <c r="A205" s="222" t="s">
        <v>383</v>
      </c>
      <c r="B205" s="239">
        <v>8</v>
      </c>
      <c r="C205" s="239"/>
      <c r="D205" s="239">
        <f t="shared" si="16"/>
        <v>8</v>
      </c>
      <c r="E205" s="62" t="s">
        <v>366</v>
      </c>
      <c r="F205" s="63" t="s">
        <v>384</v>
      </c>
    </row>
    <row r="206" spans="1:9" ht="15" customHeight="1" x14ac:dyDescent="0.2">
      <c r="A206" s="222" t="s">
        <v>385</v>
      </c>
      <c r="B206" s="239">
        <v>18</v>
      </c>
      <c r="C206" s="239"/>
      <c r="D206" s="239">
        <f t="shared" si="16"/>
        <v>18</v>
      </c>
      <c r="E206" s="59" t="s">
        <v>367</v>
      </c>
      <c r="F206" s="63" t="s">
        <v>386</v>
      </c>
    </row>
    <row r="207" spans="1:9" ht="15" customHeight="1" x14ac:dyDescent="0.2">
      <c r="A207" s="222" t="s">
        <v>387</v>
      </c>
      <c r="B207" s="239">
        <v>10</v>
      </c>
      <c r="C207" s="239"/>
      <c r="D207" s="239">
        <f t="shared" si="16"/>
        <v>10</v>
      </c>
      <c r="E207" s="62" t="s">
        <v>388</v>
      </c>
    </row>
    <row r="208" spans="1:9" ht="15" customHeight="1" x14ac:dyDescent="0.2">
      <c r="A208" s="222" t="s">
        <v>389</v>
      </c>
      <c r="B208" s="239">
        <v>6</v>
      </c>
      <c r="C208" s="239"/>
      <c r="D208" s="239">
        <f t="shared" si="16"/>
        <v>6</v>
      </c>
      <c r="E208" s="42" t="s">
        <v>390</v>
      </c>
    </row>
    <row r="209" spans="1:12" ht="15" customHeight="1" x14ac:dyDescent="0.2">
      <c r="A209" s="222" t="s">
        <v>391</v>
      </c>
      <c r="B209" s="239">
        <v>6</v>
      </c>
      <c r="C209" s="239"/>
      <c r="D209" s="239">
        <f t="shared" si="16"/>
        <v>6</v>
      </c>
      <c r="E209" s="42" t="s">
        <v>390</v>
      </c>
    </row>
    <row r="210" spans="1:12" ht="15" customHeight="1" x14ac:dyDescent="0.2">
      <c r="A210" s="222" t="s">
        <v>392</v>
      </c>
      <c r="B210" s="239">
        <v>8</v>
      </c>
      <c r="C210" s="239"/>
      <c r="D210" s="239">
        <f t="shared" si="16"/>
        <v>8</v>
      </c>
      <c r="E210" s="62" t="s">
        <v>367</v>
      </c>
    </row>
    <row r="211" spans="1:12" ht="15" customHeight="1" x14ac:dyDescent="0.2">
      <c r="A211" s="222" t="s">
        <v>393</v>
      </c>
      <c r="B211" s="239">
        <v>4</v>
      </c>
      <c r="C211" s="239"/>
      <c r="D211" s="239">
        <f t="shared" si="16"/>
        <v>4</v>
      </c>
      <c r="E211" s="42" t="s">
        <v>394</v>
      </c>
    </row>
    <row r="212" spans="1:12" ht="15" customHeight="1" x14ac:dyDescent="0.2">
      <c r="A212" s="218" t="s">
        <v>395</v>
      </c>
      <c r="B212" s="217">
        <v>10</v>
      </c>
      <c r="C212" s="217"/>
      <c r="D212" s="239">
        <f t="shared" si="16"/>
        <v>10</v>
      </c>
      <c r="E212" s="418" t="s">
        <v>396</v>
      </c>
    </row>
    <row r="213" spans="1:12" ht="15" customHeight="1" x14ac:dyDescent="0.2">
      <c r="A213" s="218" t="s">
        <v>397</v>
      </c>
      <c r="B213" s="217">
        <v>20</v>
      </c>
      <c r="C213" s="217"/>
      <c r="D213" s="239">
        <f t="shared" si="16"/>
        <v>20</v>
      </c>
      <c r="E213" s="418" t="s">
        <v>396</v>
      </c>
    </row>
    <row r="214" spans="1:12" ht="15" customHeight="1" x14ac:dyDescent="0.2">
      <c r="A214" s="218" t="s">
        <v>398</v>
      </c>
      <c r="B214" s="217">
        <v>20</v>
      </c>
      <c r="C214" s="217"/>
      <c r="D214" s="239">
        <f t="shared" si="16"/>
        <v>20</v>
      </c>
      <c r="E214" s="418" t="s">
        <v>363</v>
      </c>
    </row>
    <row r="215" spans="1:12" ht="15" customHeight="1" x14ac:dyDescent="0.2">
      <c r="A215" s="218" t="s">
        <v>399</v>
      </c>
      <c r="B215" s="217">
        <v>110</v>
      </c>
      <c r="C215" s="217"/>
      <c r="D215" s="239">
        <f t="shared" si="16"/>
        <v>110</v>
      </c>
      <c r="E215" s="418" t="s">
        <v>363</v>
      </c>
    </row>
    <row r="216" spans="1:12" ht="15" customHeight="1" x14ac:dyDescent="0.2">
      <c r="A216" s="218" t="s">
        <v>400</v>
      </c>
      <c r="B216" s="217">
        <v>8</v>
      </c>
      <c r="C216" s="217"/>
      <c r="D216" s="239">
        <f t="shared" si="16"/>
        <v>8</v>
      </c>
      <c r="E216" s="418" t="s">
        <v>390</v>
      </c>
    </row>
    <row r="217" spans="1:12" ht="15" customHeight="1" x14ac:dyDescent="0.2">
      <c r="A217" s="26" t="s">
        <v>401</v>
      </c>
      <c r="B217" s="27">
        <f>SUM(B194:B216)</f>
        <v>581</v>
      </c>
      <c r="C217" s="27">
        <f>SUM(C194:C211)</f>
        <v>0</v>
      </c>
      <c r="D217" s="27">
        <f>SUM(D194:D216)</f>
        <v>581</v>
      </c>
    </row>
    <row r="218" spans="1:12" ht="15" customHeight="1" x14ac:dyDescent="0.2">
      <c r="A218" s="222" t="s">
        <v>376</v>
      </c>
      <c r="B218" s="239">
        <f>B9-B217</f>
        <v>39</v>
      </c>
      <c r="C218" s="239">
        <f>C9-C217</f>
        <v>450</v>
      </c>
      <c r="D218" s="239">
        <f>D9-D217</f>
        <v>39</v>
      </c>
    </row>
    <row r="219" spans="1:12" ht="15" customHeight="1" x14ac:dyDescent="0.2">
      <c r="A219" s="222" t="s">
        <v>402</v>
      </c>
      <c r="B219" s="245">
        <f>G194/G201</f>
        <v>0.50967741935483868</v>
      </c>
      <c r="C219" s="245">
        <f>H194/H201</f>
        <v>0</v>
      </c>
      <c r="D219" s="245">
        <f>SUM(D195:D205)/D9</f>
        <v>0.50967741935483868</v>
      </c>
    </row>
    <row r="220" spans="1:12" ht="15" customHeight="1" x14ac:dyDescent="0.2">
      <c r="A220" s="222" t="s">
        <v>403</v>
      </c>
      <c r="B220" s="223">
        <f>Revenue!B13/B9</f>
        <v>12330.967741935483</v>
      </c>
      <c r="C220" s="223">
        <f>Revenue!B13/C9</f>
        <v>16989.333333333332</v>
      </c>
      <c r="D220" s="223">
        <f>Revenue!B13/D9</f>
        <v>12330.967741935483</v>
      </c>
    </row>
    <row r="222" spans="1:12" ht="15" customHeight="1" x14ac:dyDescent="0.2">
      <c r="A222" s="238" t="s">
        <v>404</v>
      </c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238" t="s">
        <v>405</v>
      </c>
    </row>
    <row r="223" spans="1:12" ht="15" customHeight="1" x14ac:dyDescent="0.2">
      <c r="A223" s="21" t="s">
        <v>406</v>
      </c>
      <c r="B223" s="22" t="s">
        <v>23</v>
      </c>
      <c r="C223" s="22" t="s">
        <v>24</v>
      </c>
      <c r="D223" s="22" t="s">
        <v>25</v>
      </c>
      <c r="E223" s="22" t="s">
        <v>26</v>
      </c>
      <c r="F223" s="22" t="s">
        <v>27</v>
      </c>
      <c r="G223" s="22" t="s">
        <v>28</v>
      </c>
      <c r="H223" s="22" t="s">
        <v>29</v>
      </c>
      <c r="I223" s="22" t="s">
        <v>30</v>
      </c>
      <c r="J223" s="22" t="s">
        <v>31</v>
      </c>
      <c r="K223" s="22" t="s">
        <v>32</v>
      </c>
      <c r="L223" s="190"/>
    </row>
    <row r="224" spans="1:12" ht="15" customHeight="1" x14ac:dyDescent="0.2">
      <c r="A224" s="222" t="s">
        <v>407</v>
      </c>
      <c r="B224" s="64">
        <v>0</v>
      </c>
      <c r="C224" s="64">
        <f t="shared" ref="C224:K224" si="17">MIN(B224+IF(B240&gt;$B$151,1,0),$E$155)</f>
        <v>0</v>
      </c>
      <c r="D224" s="64">
        <f t="shared" si="17"/>
        <v>0</v>
      </c>
      <c r="E224" s="64">
        <f t="shared" si="17"/>
        <v>1</v>
      </c>
      <c r="F224" s="64">
        <f t="shared" si="17"/>
        <v>2</v>
      </c>
      <c r="G224" s="64">
        <f t="shared" si="17"/>
        <v>3</v>
      </c>
      <c r="H224" s="64">
        <f t="shared" si="17"/>
        <v>4</v>
      </c>
      <c r="I224" s="64">
        <f t="shared" si="17"/>
        <v>4</v>
      </c>
      <c r="J224" s="64">
        <f t="shared" si="17"/>
        <v>4</v>
      </c>
      <c r="K224" s="64">
        <f t="shared" si="17"/>
        <v>4</v>
      </c>
      <c r="L224" s="30" t="s">
        <v>408</v>
      </c>
    </row>
    <row r="225" spans="1:15" ht="15" customHeight="1" x14ac:dyDescent="0.2">
      <c r="A225" s="43" t="s">
        <v>409</v>
      </c>
      <c r="B225" s="281">
        <f t="shared" ref="B225:K225" si="18">B190</f>
        <v>28953.600000000002</v>
      </c>
      <c r="C225" s="281">
        <f t="shared" si="18"/>
        <v>30310.799999999999</v>
      </c>
      <c r="D225" s="281">
        <f t="shared" si="18"/>
        <v>31668</v>
      </c>
      <c r="E225" s="281">
        <f t="shared" si="18"/>
        <v>38001.600000000006</v>
      </c>
      <c r="F225" s="281">
        <f t="shared" si="18"/>
        <v>41620.799999999996</v>
      </c>
      <c r="G225" s="281">
        <f t="shared" si="18"/>
        <v>44335.199999999997</v>
      </c>
      <c r="H225" s="281">
        <f t="shared" si="18"/>
        <v>49311.600000000006</v>
      </c>
      <c r="I225" s="281">
        <f t="shared" si="18"/>
        <v>50668.800000000003</v>
      </c>
      <c r="J225" s="281">
        <f t="shared" si="18"/>
        <v>50668.800000000003</v>
      </c>
      <c r="K225" s="281">
        <f t="shared" si="18"/>
        <v>50668.800000000003</v>
      </c>
      <c r="L225" s="30" t="s">
        <v>410</v>
      </c>
    </row>
    <row r="226" spans="1:15" ht="15" customHeight="1" x14ac:dyDescent="0.2">
      <c r="A226" s="26" t="s">
        <v>411</v>
      </c>
      <c r="B226" s="284">
        <v>0</v>
      </c>
      <c r="C226" s="284">
        <f>'Patient Acquisition'!B55/$B$254*$B$248+('Patient Acquisition'!B61/$B$255+'Patient Acquisition'!B67/$B$256+'Patient Acquisition'!B73/$B$256+'Patient Acquisition'!B79/$B$257)*C250</f>
        <v>907.447687804878</v>
      </c>
      <c r="D226" s="284">
        <f>'Patient Acquisition'!C55/$B$254*$B$248+('Patient Acquisition'!C61/$B$255+'Patient Acquisition'!C67/$B$256+'Patient Acquisition'!C73/$B$256+'Patient Acquisition'!C79/$B$257)*D250</f>
        <v>1481.1367999999998</v>
      </c>
      <c r="E226" s="284">
        <f>'Patient Acquisition'!D55/$B$254*$B$248+('Patient Acquisition'!D61/$B$255+'Patient Acquisition'!D67/$B$256+'Patient Acquisition'!D73/$B$256+'Patient Acquisition'!D79/$B$257)*E250</f>
        <v>2086.346198373983</v>
      </c>
      <c r="F226" s="284">
        <f>'Patient Acquisition'!E55/$B$254*$B$248+('Patient Acquisition'!E61/$B$255+'Patient Acquisition'!E67/$B$256+'Patient Acquisition'!E73/$B$256+'Patient Acquisition'!E79/$B$257)*F250</f>
        <v>2390.7829463414628</v>
      </c>
      <c r="G226" s="284">
        <f>'Patient Acquisition'!F55/$B$254*$B$248+('Patient Acquisition'!F61/$B$255+'Patient Acquisition'!F67/$B$256+'Patient Acquisition'!F73/$B$256+'Patient Acquisition'!F79/$B$257)*G250</f>
        <v>2708.6275772357722</v>
      </c>
      <c r="H226" s="284">
        <f>'Patient Acquisition'!G55/$B$254*$B$248+('Patient Acquisition'!G61/$B$255+'Patient Acquisition'!G67/$B$256+'Patient Acquisition'!G73/$B$256+'Patient Acquisition'!G79/$B$257)*H250</f>
        <v>3093.0204915214858</v>
      </c>
      <c r="I226" s="284">
        <f>'Patient Acquisition'!H55/$B$254*$B$248+('Patient Acquisition'!H61/$B$255+'Patient Acquisition'!H67/$B$256+'Patient Acquisition'!H73/$B$256+'Patient Acquisition'!H79/$B$257)*I250</f>
        <v>3382.4001895470383</v>
      </c>
      <c r="J226" s="284">
        <f>'Patient Acquisition'!I55/$B$254*$B$248+('Patient Acquisition'!I61/$B$255+'Patient Acquisition'!I67/$B$256+'Patient Acquisition'!I73/$B$256+'Patient Acquisition'!I79/$B$257)*J250</f>
        <v>3467.278007897793</v>
      </c>
      <c r="K226" s="284">
        <f>'Patient Acquisition'!J55/$B$254*$B$248+('Patient Acquisition'!J61/$B$255+'Patient Acquisition'!J67/$B$256+'Patient Acquisition'!J73/$B$256+'Patient Acquisition'!J79/$B$257)*K250</f>
        <v>3552.1558262485482</v>
      </c>
      <c r="L226" s="30" t="s">
        <v>412</v>
      </c>
    </row>
    <row r="227" spans="1:15" ht="15" customHeight="1" x14ac:dyDescent="0.2">
      <c r="A227" s="50" t="s">
        <v>413</v>
      </c>
      <c r="B227" s="282">
        <v>0</v>
      </c>
      <c r="C227" s="282">
        <f t="shared" ref="C227:K227" si="19">C226*$B$154*12</f>
        <v>326.68116760975607</v>
      </c>
      <c r="D227" s="282">
        <f t="shared" si="19"/>
        <v>533.20924799999989</v>
      </c>
      <c r="E227" s="282">
        <f t="shared" si="19"/>
        <v>751.0846314146338</v>
      </c>
      <c r="F227" s="282">
        <f t="shared" si="19"/>
        <v>860.68186068292664</v>
      </c>
      <c r="G227" s="282">
        <f t="shared" si="19"/>
        <v>975.10592780487787</v>
      </c>
      <c r="H227" s="282">
        <f t="shared" si="19"/>
        <v>1113.4873769477349</v>
      </c>
      <c r="I227" s="282">
        <f t="shared" si="19"/>
        <v>1217.6640682369339</v>
      </c>
      <c r="J227" s="282">
        <f t="shared" si="19"/>
        <v>1248.2200828432053</v>
      </c>
      <c r="K227" s="282">
        <f t="shared" si="19"/>
        <v>1278.7760974494772</v>
      </c>
      <c r="L227" s="30" t="s">
        <v>414</v>
      </c>
    </row>
    <row r="228" spans="1:15" ht="15" customHeight="1" x14ac:dyDescent="0.2">
      <c r="A228" s="238" t="s">
        <v>415</v>
      </c>
      <c r="B228" s="353">
        <f>$B$268*12+$B$271</f>
        <v>820</v>
      </c>
      <c r="C228" s="283">
        <f>B228*(1+$B$269)*IF(2=$B$156,1+$B$157,1)</f>
        <v>990.15</v>
      </c>
      <c r="D228" s="283">
        <f>C228*(1+$B$269)*IF(3=$B$156,1+$B$157,1)</f>
        <v>1039.6575</v>
      </c>
      <c r="E228" s="283">
        <f>D228*(1+$B$269)*IF(4=$B$156,1+$B$157,1)</f>
        <v>1091.6403750000002</v>
      </c>
      <c r="F228" s="283">
        <f>E228*(1+$B$269)*IF(5=$B$156,1+$B$157,1)</f>
        <v>1146.2223937500003</v>
      </c>
      <c r="G228" s="283">
        <f>F228*(1+$B$269)*IF(6=$B$156,1+$B$157,1)</f>
        <v>1203.5335134375002</v>
      </c>
      <c r="H228" s="283">
        <f>G228*(1+$B$269)*IF(7=$B$156,1+$B$157,1)</f>
        <v>1263.7101891093753</v>
      </c>
      <c r="I228" s="283">
        <f>H228*(1+$B$269)*IF(8=$B$156,1+$B$157,1)</f>
        <v>1326.895698564844</v>
      </c>
      <c r="J228" s="283">
        <f>I228*(1+$B$269)*IF(9=$B$156,1+$B$157,1)</f>
        <v>1393.2404834930862</v>
      </c>
      <c r="K228" s="283">
        <f>J228*(1+$B$269)*IF(10=$B$156,1+$B$157,1)</f>
        <v>1462.9025076677406</v>
      </c>
    </row>
    <row r="229" spans="1:15" s="359" customFormat="1" ht="15" customHeight="1" x14ac:dyDescent="0.2">
      <c r="A229" s="354" t="s">
        <v>416</v>
      </c>
      <c r="B229" s="491">
        <f t="shared" ref="B229:K229" si="20">C161</f>
        <v>1251.7983739837396</v>
      </c>
      <c r="C229" s="491">
        <f t="shared" si="20"/>
        <v>1059.8382177560966</v>
      </c>
      <c r="D229" s="491">
        <f t="shared" si="20"/>
        <v>1442.4322243577228</v>
      </c>
      <c r="E229" s="491">
        <f t="shared" si="20"/>
        <v>1083.0523724471543</v>
      </c>
      <c r="F229" s="491">
        <f t="shared" si="20"/>
        <v>1130.1241813394299</v>
      </c>
      <c r="G229" s="491">
        <f t="shared" si="20"/>
        <v>1337.1752579446127</v>
      </c>
      <c r="H229" s="491">
        <f t="shared" si="20"/>
        <v>1441.8079586815647</v>
      </c>
      <c r="I229" s="491">
        <f t="shared" si="20"/>
        <v>985.06605991134461</v>
      </c>
      <c r="J229" s="491">
        <f t="shared" si="20"/>
        <v>803.28744202607641</v>
      </c>
      <c r="K229" s="491">
        <f t="shared" si="20"/>
        <v>618.19158489439474</v>
      </c>
      <c r="L229" s="358" t="s">
        <v>417</v>
      </c>
      <c r="M229" s="358" t="s">
        <v>418</v>
      </c>
    </row>
    <row r="230" spans="1:15" s="336" customFormat="1" ht="15" customHeight="1" x14ac:dyDescent="0.2">
      <c r="A230" s="243" t="s">
        <v>419</v>
      </c>
      <c r="B230" s="355">
        <f t="shared" ref="B230:K230" si="21">B226+B227+B228+B229</f>
        <v>2071.7983739837396</v>
      </c>
      <c r="C230" s="355">
        <f t="shared" si="21"/>
        <v>3284.1170731707307</v>
      </c>
      <c r="D230" s="355">
        <f t="shared" si="21"/>
        <v>4496.4357723577223</v>
      </c>
      <c r="E230" s="355">
        <f t="shared" si="21"/>
        <v>5012.1235772357713</v>
      </c>
      <c r="F230" s="355">
        <f t="shared" si="21"/>
        <v>5527.8113821138195</v>
      </c>
      <c r="G230" s="355">
        <f t="shared" si="21"/>
        <v>6224.4422764227629</v>
      </c>
      <c r="H230" s="355">
        <f t="shared" si="21"/>
        <v>6912.0260162601608</v>
      </c>
      <c r="I230" s="355">
        <f t="shared" si="21"/>
        <v>6912.0260162601598</v>
      </c>
      <c r="J230" s="355">
        <f t="shared" si="21"/>
        <v>6912.0260162601608</v>
      </c>
      <c r="K230" s="355">
        <f t="shared" si="21"/>
        <v>6912.0260162601608</v>
      </c>
      <c r="L230" s="356"/>
      <c r="M230" s="356"/>
    </row>
    <row r="231" spans="1:15" s="336" customFormat="1" ht="15" customHeight="1" x14ac:dyDescent="0.2">
      <c r="A231" s="243" t="s">
        <v>420</v>
      </c>
      <c r="B231" s="355">
        <f t="shared" ref="B231:K231" si="22">MIN(B230*$B$282,B225)</f>
        <v>12741.56</v>
      </c>
      <c r="C231" s="355">
        <f t="shared" si="22"/>
        <v>20197.319999999996</v>
      </c>
      <c r="D231" s="355">
        <f t="shared" si="22"/>
        <v>27653.079999999994</v>
      </c>
      <c r="E231" s="355">
        <f t="shared" si="22"/>
        <v>30824.559999999994</v>
      </c>
      <c r="F231" s="355">
        <f t="shared" si="22"/>
        <v>33996.039999999994</v>
      </c>
      <c r="G231" s="355">
        <f t="shared" si="22"/>
        <v>38280.319999999992</v>
      </c>
      <c r="H231" s="355">
        <f t="shared" si="22"/>
        <v>42508.959999999992</v>
      </c>
      <c r="I231" s="355">
        <f t="shared" si="22"/>
        <v>42508.959999999985</v>
      </c>
      <c r="J231" s="355">
        <f t="shared" si="22"/>
        <v>42508.959999999992</v>
      </c>
      <c r="K231" s="355">
        <f t="shared" si="22"/>
        <v>42508.959999999992</v>
      </c>
      <c r="L231" s="357"/>
      <c r="M231" s="357"/>
    </row>
    <row r="232" spans="1:15" s="362" customFormat="1" ht="15" customHeight="1" x14ac:dyDescent="0.2">
      <c r="A232" s="360"/>
      <c r="B232" s="361"/>
      <c r="C232" s="361"/>
      <c r="D232" s="361"/>
      <c r="E232" s="361"/>
      <c r="F232" s="361"/>
      <c r="G232" s="361"/>
      <c r="H232" s="361"/>
      <c r="I232" s="361"/>
      <c r="J232" s="361"/>
      <c r="K232" s="361"/>
      <c r="L232" s="361"/>
      <c r="M232" s="361"/>
    </row>
    <row r="233" spans="1:15" ht="15" customHeight="1" x14ac:dyDescent="0.2">
      <c r="A233" s="26" t="s">
        <v>421</v>
      </c>
      <c r="B233" s="65">
        <v>8.3333333333333329E-2</v>
      </c>
      <c r="C233" s="65">
        <v>0.16666666666666671</v>
      </c>
      <c r="D233" s="65">
        <v>0.25</v>
      </c>
      <c r="E233" s="65">
        <v>0.33333333333333331</v>
      </c>
      <c r="F233" s="65">
        <v>0.41666666666666669</v>
      </c>
      <c r="G233" s="65">
        <v>0.5</v>
      </c>
      <c r="H233" s="65">
        <v>0.58333333333333337</v>
      </c>
      <c r="I233" s="65">
        <v>0.66666666666666663</v>
      </c>
      <c r="J233" s="65">
        <v>0.75</v>
      </c>
      <c r="K233" s="65">
        <v>0.83333333333333337</v>
      </c>
      <c r="L233" s="65">
        <v>0.91666666666666663</v>
      </c>
      <c r="M233" s="65">
        <v>1</v>
      </c>
    </row>
    <row r="234" spans="1:15" ht="15" customHeight="1" x14ac:dyDescent="0.2">
      <c r="A234" s="222" t="s">
        <v>422</v>
      </c>
      <c r="B234" s="223">
        <f>Assumptions!$B$265/12*B236</f>
        <v>39866.666666666672</v>
      </c>
      <c r="C234" s="223">
        <f>Assumptions!$B$265/12*C236</f>
        <v>42000</v>
      </c>
      <c r="D234" s="223">
        <f>Assumptions!$B$265/12*D236</f>
        <v>34000</v>
      </c>
      <c r="E234" s="223">
        <f>Assumptions!$B$265/12*E236</f>
        <v>33833.333333333336</v>
      </c>
      <c r="F234" s="223">
        <f>Assumptions!$B$265/12*F236</f>
        <v>31366.666666666668</v>
      </c>
      <c r="G234" s="223">
        <f>Assumptions!$B$265/12*G236</f>
        <v>20766.666666666668</v>
      </c>
      <c r="H234" s="223">
        <f>Assumptions!$B$265/12*H236</f>
        <v>22366.666666666668</v>
      </c>
      <c r="I234" s="223">
        <f>Assumptions!$B$265/12*I236</f>
        <v>22366.666666666668</v>
      </c>
      <c r="J234" s="223">
        <f>Assumptions!$B$265/12*J236</f>
        <v>29633.333333333336</v>
      </c>
      <c r="K234" s="223">
        <f>Assumptions!$B$265/12*K236</f>
        <v>38833.333333333336</v>
      </c>
      <c r="L234" s="223">
        <f>Assumptions!$B$265/12*L236</f>
        <v>41366.666666666672</v>
      </c>
      <c r="M234" s="223">
        <f>Assumptions!$B$265/12*M236</f>
        <v>43566.666666666664</v>
      </c>
    </row>
    <row r="235" spans="1:15" ht="15" customHeight="1" x14ac:dyDescent="0.2">
      <c r="A235" s="47" t="s">
        <v>423</v>
      </c>
      <c r="B235" s="66">
        <v>1.1339999999999999</v>
      </c>
      <c r="C235" s="66">
        <v>1.1950000000000001</v>
      </c>
      <c r="D235" s="66">
        <v>1.016</v>
      </c>
      <c r="E235" s="66">
        <v>1.0109999999999999</v>
      </c>
      <c r="F235" s="67">
        <v>0.93700000000000006</v>
      </c>
      <c r="G235" s="67">
        <v>0.73</v>
      </c>
      <c r="H235" s="67">
        <v>0.78600000000000003</v>
      </c>
      <c r="I235" s="67">
        <v>0.78600000000000003</v>
      </c>
      <c r="J235" s="68">
        <v>0.88500000000000001</v>
      </c>
      <c r="K235" s="66">
        <v>1.105</v>
      </c>
      <c r="L235" s="66">
        <v>1.177</v>
      </c>
      <c r="M235" s="68">
        <v>1.2390000000000001</v>
      </c>
      <c r="N235" s="69">
        <f>AVERAGE(B235:M235)</f>
        <v>1.0000833333333332</v>
      </c>
      <c r="O235" s="30" t="s">
        <v>424</v>
      </c>
    </row>
    <row r="236" spans="1:15" ht="15" customHeight="1" x14ac:dyDescent="0.2">
      <c r="A236" s="50" t="s">
        <v>425</v>
      </c>
      <c r="B236" s="68">
        <v>1.196</v>
      </c>
      <c r="C236" s="68">
        <v>1.26</v>
      </c>
      <c r="D236" s="68">
        <v>1.02</v>
      </c>
      <c r="E236" s="68">
        <v>1.0149999999999999</v>
      </c>
      <c r="F236" s="68">
        <v>0.94099999999999995</v>
      </c>
      <c r="G236" s="67">
        <v>0.623</v>
      </c>
      <c r="H236" s="67">
        <v>0.67100000000000004</v>
      </c>
      <c r="I236" s="67">
        <v>0.67100000000000004</v>
      </c>
      <c r="J236" s="66">
        <v>0.88900000000000001</v>
      </c>
      <c r="K236" s="66">
        <v>1.165</v>
      </c>
      <c r="L236" s="66">
        <v>1.2410000000000001</v>
      </c>
      <c r="M236" s="68">
        <v>1.3069999999999999</v>
      </c>
      <c r="N236" s="70">
        <f>AVERAGE(B236:M236)</f>
        <v>0.99991666666666668</v>
      </c>
      <c r="O236" s="30" t="s">
        <v>424</v>
      </c>
    </row>
    <row r="237" spans="1:15" ht="15" customHeight="1" x14ac:dyDescent="0.2">
      <c r="A237" s="238" t="s">
        <v>426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</row>
    <row r="238" spans="1:15" ht="15" customHeight="1" x14ac:dyDescent="0.2">
      <c r="A238" s="238" t="s">
        <v>427</v>
      </c>
      <c r="B238" s="196" t="s">
        <v>23</v>
      </c>
      <c r="C238" s="196" t="s">
        <v>24</v>
      </c>
      <c r="D238" s="196" t="s">
        <v>25</v>
      </c>
      <c r="E238" s="196" t="s">
        <v>26</v>
      </c>
      <c r="F238" s="196" t="s">
        <v>27</v>
      </c>
      <c r="G238" s="196" t="s">
        <v>28</v>
      </c>
      <c r="H238" s="196" t="s">
        <v>29</v>
      </c>
      <c r="I238" s="196" t="s">
        <v>30</v>
      </c>
      <c r="J238" s="196" t="s">
        <v>31</v>
      </c>
      <c r="K238" s="196" t="s">
        <v>32</v>
      </c>
      <c r="L238" s="26" t="s">
        <v>79</v>
      </c>
    </row>
    <row r="239" spans="1:15" ht="15" customHeight="1" x14ac:dyDescent="0.2">
      <c r="A239" s="26" t="s">
        <v>428</v>
      </c>
      <c r="B239" s="71" t="s">
        <v>23</v>
      </c>
      <c r="C239" s="71" t="s">
        <v>24</v>
      </c>
      <c r="D239" s="71" t="s">
        <v>25</v>
      </c>
      <c r="E239" s="71" t="s">
        <v>26</v>
      </c>
      <c r="F239" s="71" t="s">
        <v>27</v>
      </c>
      <c r="G239" s="71" t="s">
        <v>28</v>
      </c>
      <c r="H239" s="71" t="s">
        <v>29</v>
      </c>
      <c r="I239" s="71" t="s">
        <v>30</v>
      </c>
      <c r="J239" s="71" t="s">
        <v>31</v>
      </c>
      <c r="K239" s="71" t="s">
        <v>32</v>
      </c>
      <c r="L239" s="26" t="s">
        <v>79</v>
      </c>
    </row>
    <row r="240" spans="1:15" ht="15" customHeight="1" x14ac:dyDescent="0.2">
      <c r="A240" s="43" t="s">
        <v>429</v>
      </c>
      <c r="B240" s="72">
        <f t="shared" ref="B240:K240" si="23">IFERROR(B231/B225,0)</f>
        <v>0.44006824712643672</v>
      </c>
      <c r="C240" s="72">
        <f t="shared" si="23"/>
        <v>0.6663407102418939</v>
      </c>
      <c r="D240" s="72">
        <f t="shared" si="23"/>
        <v>0.87321839080459751</v>
      </c>
      <c r="E240" s="72">
        <f t="shared" si="23"/>
        <v>0.81113847837985742</v>
      </c>
      <c r="F240" s="72">
        <f t="shared" si="23"/>
        <v>0.81680409795102438</v>
      </c>
      <c r="G240" s="72">
        <f t="shared" si="23"/>
        <v>0.86342950973492838</v>
      </c>
      <c r="H240" s="72">
        <f t="shared" si="23"/>
        <v>0.86204787514499603</v>
      </c>
      <c r="I240" s="72">
        <f t="shared" si="23"/>
        <v>0.838957307060755</v>
      </c>
      <c r="J240" s="72">
        <f t="shared" si="23"/>
        <v>0.83895730706075511</v>
      </c>
      <c r="K240" s="72">
        <f t="shared" si="23"/>
        <v>0.83895730706075511</v>
      </c>
      <c r="L240" s="30" t="s">
        <v>430</v>
      </c>
    </row>
    <row r="241" spans="1:12" ht="15" customHeight="1" x14ac:dyDescent="0.2">
      <c r="A241" s="50" t="s">
        <v>431</v>
      </c>
      <c r="B241" s="73">
        <f t="shared" ref="B241:K241" si="24">IF(B230&gt;0,B229/B230,0)</f>
        <v>0.60420858984300185</v>
      </c>
      <c r="C241" s="73">
        <f t="shared" si="24"/>
        <v>0.32271633262234772</v>
      </c>
      <c r="D241" s="73">
        <f t="shared" si="24"/>
        <v>0.32079457983703796</v>
      </c>
      <c r="E241" s="73">
        <f t="shared" si="24"/>
        <v>0.2160865261515493</v>
      </c>
      <c r="F241" s="73">
        <f t="shared" si="24"/>
        <v>0.20444333267161399</v>
      </c>
      <c r="G241" s="73">
        <f t="shared" si="24"/>
        <v>0.21482651755156096</v>
      </c>
      <c r="H241" s="73">
        <f t="shared" si="24"/>
        <v>0.20859411629669664</v>
      </c>
      <c r="I241" s="73">
        <f t="shared" si="24"/>
        <v>0.14251480790061136</v>
      </c>
      <c r="J241" s="73">
        <f t="shared" si="24"/>
        <v>0.11621591703161807</v>
      </c>
      <c r="K241" s="73">
        <f t="shared" si="24"/>
        <v>8.9437103309526478E-2</v>
      </c>
      <c r="L241" s="28" t="s">
        <v>432</v>
      </c>
    </row>
    <row r="242" spans="1:12" ht="15" customHeight="1" x14ac:dyDescent="0.2">
      <c r="A242" s="26" t="s">
        <v>433</v>
      </c>
      <c r="B242" s="74">
        <f>IFERROR(MIN($B$155,B240),0)</f>
        <v>0.3</v>
      </c>
      <c r="C242" s="74">
        <f t="shared" ref="C242:K242" si="25">IFERROR(MIN(1,C240),0)</f>
        <v>0.6663407102418939</v>
      </c>
      <c r="D242" s="74">
        <f t="shared" si="25"/>
        <v>0.87321839080459751</v>
      </c>
      <c r="E242" s="74">
        <f t="shared" si="25"/>
        <v>0.81113847837985742</v>
      </c>
      <c r="F242" s="74">
        <f t="shared" si="25"/>
        <v>0.81680409795102438</v>
      </c>
      <c r="G242" s="74">
        <f t="shared" si="25"/>
        <v>0.86342950973492838</v>
      </c>
      <c r="H242" s="74">
        <f t="shared" si="25"/>
        <v>0.86204787514499603</v>
      </c>
      <c r="I242" s="74">
        <f t="shared" si="25"/>
        <v>0.838957307060755</v>
      </c>
      <c r="J242" s="74">
        <f t="shared" si="25"/>
        <v>0.83895730706075511</v>
      </c>
      <c r="K242" s="74">
        <f t="shared" si="25"/>
        <v>0.83895730706075511</v>
      </c>
      <c r="L242" s="30" t="s">
        <v>434</v>
      </c>
    </row>
    <row r="243" spans="1:12" ht="15" customHeight="1" x14ac:dyDescent="0.2">
      <c r="A243" s="222" t="s">
        <v>435</v>
      </c>
      <c r="B243" s="245">
        <f t="shared" ref="B243:K243" si="26">MAX(0,1-B241)</f>
        <v>0.39579141015699815</v>
      </c>
      <c r="C243" s="245">
        <f t="shared" si="26"/>
        <v>0.67728366737765233</v>
      </c>
      <c r="D243" s="245">
        <f t="shared" si="26"/>
        <v>0.67920542016296204</v>
      </c>
      <c r="E243" s="245">
        <f t="shared" si="26"/>
        <v>0.78391347384845067</v>
      </c>
      <c r="F243" s="245">
        <f t="shared" si="26"/>
        <v>0.79555666732838604</v>
      </c>
      <c r="G243" s="245">
        <f t="shared" si="26"/>
        <v>0.7851734824484391</v>
      </c>
      <c r="H243" s="245">
        <f t="shared" si="26"/>
        <v>0.79140588370330334</v>
      </c>
      <c r="I243" s="245">
        <f t="shared" si="26"/>
        <v>0.85748519209938867</v>
      </c>
      <c r="J243" s="245">
        <f t="shared" si="26"/>
        <v>0.88378408296838196</v>
      </c>
      <c r="K243" s="245">
        <f t="shared" si="26"/>
        <v>0.91056289669047352</v>
      </c>
      <c r="L243" s="30" t="s">
        <v>436</v>
      </c>
    </row>
    <row r="244" spans="1:12" ht="15" customHeight="1" x14ac:dyDescent="0.2">
      <c r="A244" s="222" t="s">
        <v>437</v>
      </c>
      <c r="B244" s="245">
        <f t="shared" ref="B244:K244" si="27">MAX(0,1-B243)</f>
        <v>0.60420858984300185</v>
      </c>
      <c r="C244" s="245">
        <f t="shared" si="27"/>
        <v>0.32271633262234767</v>
      </c>
      <c r="D244" s="245">
        <f t="shared" si="27"/>
        <v>0.32079457983703796</v>
      </c>
      <c r="E244" s="245">
        <f t="shared" si="27"/>
        <v>0.21608652615154933</v>
      </c>
      <c r="F244" s="245">
        <f t="shared" si="27"/>
        <v>0.20444333267161396</v>
      </c>
      <c r="G244" s="245">
        <f t="shared" si="27"/>
        <v>0.2148265175515609</v>
      </c>
      <c r="H244" s="245">
        <f t="shared" si="27"/>
        <v>0.20859411629669666</v>
      </c>
      <c r="I244" s="245">
        <f t="shared" si="27"/>
        <v>0.14251480790061133</v>
      </c>
      <c r="J244" s="245">
        <f t="shared" si="27"/>
        <v>0.11621591703161804</v>
      </c>
      <c r="K244" s="245">
        <f t="shared" si="27"/>
        <v>8.9437103309526478E-2</v>
      </c>
      <c r="L244" s="30" t="s">
        <v>438</v>
      </c>
    </row>
    <row r="246" spans="1:12" ht="15" customHeight="1" x14ac:dyDescent="0.2">
      <c r="A246" s="238" t="s">
        <v>439</v>
      </c>
      <c r="B246" s="29"/>
      <c r="C246" s="29"/>
      <c r="D246" s="29"/>
      <c r="E246" s="29"/>
      <c r="F246" s="29"/>
      <c r="G246" s="29"/>
      <c r="H246" s="29"/>
      <c r="I246" s="29"/>
      <c r="J246" s="29"/>
      <c r="K246" s="29"/>
    </row>
    <row r="247" spans="1:12" ht="15" customHeight="1" x14ac:dyDescent="0.2">
      <c r="A247" s="509" t="s">
        <v>440</v>
      </c>
      <c r="B247" s="510">
        <v>0.6</v>
      </c>
      <c r="C247" s="30" t="s">
        <v>441</v>
      </c>
    </row>
    <row r="248" spans="1:12" ht="15" customHeight="1" x14ac:dyDescent="0.2">
      <c r="A248" s="365" t="s">
        <v>442</v>
      </c>
      <c r="B248" s="436">
        <v>0.1</v>
      </c>
      <c r="C248" s="508" t="s">
        <v>443</v>
      </c>
    </row>
    <row r="249" spans="1:12" ht="15" customHeight="1" x14ac:dyDescent="0.2">
      <c r="A249" s="222" t="s">
        <v>444</v>
      </c>
      <c r="B249" s="75">
        <v>0.02</v>
      </c>
      <c r="C249" s="30" t="s">
        <v>445</v>
      </c>
    </row>
    <row r="250" spans="1:12" ht="15" customHeight="1" x14ac:dyDescent="0.2">
      <c r="A250" s="47" t="s">
        <v>446</v>
      </c>
      <c r="B250" s="76">
        <f>$B$247</f>
        <v>0.6</v>
      </c>
      <c r="C250" s="76">
        <f>MIN(0.9,$B$247+$B$249*1)</f>
        <v>0.62</v>
      </c>
      <c r="D250" s="76">
        <f>MIN(0.9,$B$247+$B$249*2)</f>
        <v>0.64</v>
      </c>
      <c r="E250" s="76">
        <f>MIN(0.9,$B$247+$B$249*3)</f>
        <v>0.65999999999999992</v>
      </c>
      <c r="F250" s="76">
        <f>MIN(0.9,$B$247+$B$249*4)</f>
        <v>0.67999999999999994</v>
      </c>
      <c r="G250" s="76">
        <f>MIN(0.9,$B$247+$B$249*5)</f>
        <v>0.7</v>
      </c>
      <c r="H250" s="76">
        <f>MIN(0.9,$B$247+$B$249*6)</f>
        <v>0.72</v>
      </c>
      <c r="I250" s="76">
        <f>MIN(0.9,$B$247+$B$249*7)</f>
        <v>0.74</v>
      </c>
      <c r="J250" s="76">
        <f>MIN(0.9,$B$247+$B$249*8)</f>
        <v>0.76</v>
      </c>
      <c r="K250" s="76">
        <f>MIN(0.9,$B$247+$B$249*9)</f>
        <v>0.78</v>
      </c>
      <c r="L250" s="30" t="s">
        <v>447</v>
      </c>
    </row>
    <row r="252" spans="1:12" ht="15" customHeight="1" x14ac:dyDescent="0.2">
      <c r="A252" s="21" t="s">
        <v>448</v>
      </c>
      <c r="B252" s="77"/>
      <c r="C252" s="77"/>
      <c r="D252" s="77"/>
    </row>
    <row r="253" spans="1:12" ht="15" customHeight="1" x14ac:dyDescent="0.2">
      <c r="A253" s="21" t="s">
        <v>136</v>
      </c>
      <c r="B253" s="22" t="s">
        <v>449</v>
      </c>
      <c r="C253" s="22" t="s">
        <v>450</v>
      </c>
      <c r="D253" s="22" t="s">
        <v>79</v>
      </c>
    </row>
    <row r="254" spans="1:12" ht="15" customHeight="1" x14ac:dyDescent="0.2">
      <c r="A254" s="222" t="s">
        <v>175</v>
      </c>
      <c r="B254" s="78">
        <v>10</v>
      </c>
      <c r="C254" s="247" t="s">
        <v>451</v>
      </c>
      <c r="D254" s="30" t="s">
        <v>452</v>
      </c>
    </row>
    <row r="255" spans="1:12" ht="15" customHeight="1" x14ac:dyDescent="0.2">
      <c r="A255" s="222" t="s">
        <v>453</v>
      </c>
      <c r="B255" s="78">
        <v>3</v>
      </c>
      <c r="C255" s="247" t="s">
        <v>454</v>
      </c>
      <c r="D255" s="30" t="s">
        <v>455</v>
      </c>
    </row>
    <row r="256" spans="1:12" ht="15" customHeight="1" x14ac:dyDescent="0.2">
      <c r="A256" s="222" t="s">
        <v>456</v>
      </c>
      <c r="B256" s="78">
        <v>2.5</v>
      </c>
      <c r="C256" s="247" t="s">
        <v>457</v>
      </c>
      <c r="D256" s="30" t="s">
        <v>458</v>
      </c>
    </row>
    <row r="257" spans="1:13" ht="15" customHeight="1" x14ac:dyDescent="0.2">
      <c r="A257" s="222" t="s">
        <v>149</v>
      </c>
      <c r="B257" s="78">
        <v>7</v>
      </c>
      <c r="C257" s="247" t="s">
        <v>459</v>
      </c>
      <c r="D257" s="30" t="s">
        <v>460</v>
      </c>
    </row>
    <row r="258" spans="1:13" ht="15" customHeight="1" x14ac:dyDescent="0.2">
      <c r="C258" s="30" t="s">
        <v>461</v>
      </c>
    </row>
    <row r="259" spans="1:13" ht="15" customHeight="1" x14ac:dyDescent="0.2">
      <c r="A259" s="79" t="s">
        <v>462</v>
      </c>
      <c r="B259" s="77"/>
      <c r="C259" s="77"/>
      <c r="D259" s="77"/>
    </row>
    <row r="260" spans="1:13" ht="15" customHeight="1" x14ac:dyDescent="0.2">
      <c r="A260" s="370" t="s">
        <v>463</v>
      </c>
      <c r="B260" s="371">
        <v>150</v>
      </c>
      <c r="C260" s="372" t="s">
        <v>464</v>
      </c>
      <c r="D260" s="77"/>
    </row>
    <row r="261" spans="1:13" ht="15" customHeight="1" x14ac:dyDescent="0.2">
      <c r="A261" s="370" t="s">
        <v>465</v>
      </c>
      <c r="B261" s="373">
        <v>0.125</v>
      </c>
      <c r="C261" s="372" t="s">
        <v>466</v>
      </c>
      <c r="D261" s="77"/>
    </row>
    <row r="262" spans="1:13" ht="15" customHeight="1" x14ac:dyDescent="0.2">
      <c r="A262" s="222" t="s">
        <v>467</v>
      </c>
      <c r="B262" s="374">
        <f>B260/B261</f>
        <v>1200</v>
      </c>
      <c r="C262" s="375" t="s">
        <v>468</v>
      </c>
    </row>
    <row r="263" spans="1:13" ht="15" customHeight="1" x14ac:dyDescent="0.2">
      <c r="A263" s="222" t="s">
        <v>469</v>
      </c>
      <c r="B263" s="80">
        <v>200</v>
      </c>
      <c r="C263" s="30" t="s">
        <v>470</v>
      </c>
    </row>
    <row r="264" spans="1:13" x14ac:dyDescent="0.2">
      <c r="A264" s="539" t="s">
        <v>471</v>
      </c>
      <c r="B264" s="539"/>
    </row>
    <row r="265" spans="1:13" ht="15" customHeight="1" x14ac:dyDescent="0.2">
      <c r="A265" s="538" t="s">
        <v>472</v>
      </c>
      <c r="B265" s="540">
        <v>400000</v>
      </c>
      <c r="C265" s="190" t="s">
        <v>473</v>
      </c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</row>
    <row r="266" spans="1:13" ht="15" customHeight="1" x14ac:dyDescent="0.2">
      <c r="A266" s="541" t="s">
        <v>474</v>
      </c>
      <c r="B266" s="542">
        <v>0.15</v>
      </c>
      <c r="C266" s="368"/>
      <c r="D266" s="198"/>
      <c r="E266" s="198"/>
      <c r="F266" s="198"/>
      <c r="G266" s="198"/>
      <c r="H266" s="198"/>
      <c r="I266" s="198"/>
      <c r="J266" s="198"/>
      <c r="K266" s="198"/>
      <c r="L266" s="190"/>
      <c r="M266" s="190"/>
    </row>
    <row r="267" spans="1:13" ht="15" customHeight="1" x14ac:dyDescent="0.2">
      <c r="A267" s="541" t="s">
        <v>475</v>
      </c>
      <c r="B267" s="543">
        <v>60000</v>
      </c>
      <c r="C267" s="367"/>
      <c r="D267" s="192"/>
      <c r="E267" s="192"/>
      <c r="F267" s="192"/>
      <c r="G267" s="192"/>
      <c r="H267" s="192"/>
      <c r="I267" s="192"/>
      <c r="J267" s="192"/>
      <c r="K267" s="192"/>
      <c r="L267" s="190"/>
      <c r="M267" s="190"/>
    </row>
    <row r="268" spans="1:13" ht="15" customHeight="1" x14ac:dyDescent="0.2">
      <c r="A268" s="366" t="s">
        <v>476</v>
      </c>
      <c r="B268" s="367">
        <v>60</v>
      </c>
      <c r="C268" s="367"/>
      <c r="D268" s="192"/>
      <c r="E268" s="192"/>
      <c r="F268" s="192"/>
      <c r="G268" s="192"/>
      <c r="H268" s="192"/>
      <c r="I268" s="192"/>
      <c r="J268" s="192"/>
      <c r="K268" s="192"/>
      <c r="L268" s="190"/>
      <c r="M268" s="190"/>
    </row>
    <row r="269" spans="1:13" ht="15" customHeight="1" x14ac:dyDescent="0.2">
      <c r="A269" s="366" t="s">
        <v>477</v>
      </c>
      <c r="B269" s="537">
        <v>0.05</v>
      </c>
      <c r="C269" s="367"/>
      <c r="D269" s="192"/>
      <c r="E269" s="192"/>
      <c r="F269" s="192"/>
      <c r="G269" s="192"/>
      <c r="H269" s="192"/>
      <c r="I269" s="192"/>
      <c r="J269" s="192"/>
      <c r="K269" s="192"/>
      <c r="L269" s="190"/>
      <c r="M269" s="190"/>
    </row>
    <row r="270" spans="1:13" ht="15" customHeight="1" x14ac:dyDescent="0.2">
      <c r="A270" s="366" t="s">
        <v>478</v>
      </c>
      <c r="B270" s="544">
        <f>$B$157</f>
        <v>0.15</v>
      </c>
      <c r="C270" s="367"/>
      <c r="D270" s="192"/>
      <c r="E270" s="192"/>
      <c r="F270" s="192"/>
      <c r="G270" s="192"/>
      <c r="H270" s="192"/>
      <c r="I270" s="192"/>
      <c r="J270" s="192"/>
      <c r="K270" s="192"/>
      <c r="L270" s="190"/>
      <c r="M270" s="190"/>
    </row>
    <row r="271" spans="1:13" ht="15" customHeight="1" x14ac:dyDescent="0.2">
      <c r="A271" s="366" t="s">
        <v>479</v>
      </c>
      <c r="B271" s="367">
        <v>100</v>
      </c>
      <c r="C271" s="367"/>
      <c r="D271" s="192"/>
      <c r="E271" s="192"/>
      <c r="F271" s="192"/>
      <c r="G271" s="192"/>
      <c r="H271" s="192"/>
      <c r="I271" s="192"/>
      <c r="J271" s="192"/>
      <c r="K271" s="192"/>
      <c r="L271" s="190"/>
      <c r="M271" s="190"/>
    </row>
    <row r="272" spans="1:13" ht="15" customHeight="1" x14ac:dyDescent="0.2">
      <c r="A272" s="366"/>
      <c r="B272" s="367"/>
      <c r="C272" s="367"/>
      <c r="D272" s="192"/>
      <c r="E272" s="192"/>
      <c r="F272" s="192"/>
      <c r="G272" s="192"/>
      <c r="H272" s="192"/>
      <c r="I272" s="192"/>
      <c r="J272" s="192"/>
      <c r="K272" s="192"/>
      <c r="L272" s="190"/>
      <c r="M272" s="190"/>
    </row>
    <row r="273" spans="1:13" ht="15" customHeight="1" x14ac:dyDescent="0.2">
      <c r="A273" s="335" t="s">
        <v>480</v>
      </c>
      <c r="B273" s="339"/>
      <c r="C273" s="339"/>
      <c r="D273" s="192"/>
      <c r="E273" s="192"/>
      <c r="F273" s="192"/>
      <c r="G273" s="192"/>
      <c r="H273" s="192"/>
      <c r="I273" s="192"/>
      <c r="J273" s="192"/>
      <c r="K273" s="192"/>
      <c r="L273" s="190"/>
      <c r="M273" s="190"/>
    </row>
    <row r="274" spans="1:13" ht="15" customHeight="1" x14ac:dyDescent="0.2">
      <c r="A274" s="366" t="s">
        <v>481</v>
      </c>
      <c r="B274" s="34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</row>
    <row r="275" spans="1:13" ht="15" customHeight="1" x14ac:dyDescent="0.2"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</row>
    <row r="276" spans="1:13" ht="15" customHeight="1" x14ac:dyDescent="0.2">
      <c r="A276" s="404" t="s">
        <v>482</v>
      </c>
      <c r="B276" s="405" t="s">
        <v>483</v>
      </c>
      <c r="C276" s="405" t="s">
        <v>449</v>
      </c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</row>
    <row r="277" spans="1:13" ht="15" customHeight="1" x14ac:dyDescent="0.2">
      <c r="A277" s="407" t="s">
        <v>175</v>
      </c>
      <c r="B277" s="409">
        <v>0.35</v>
      </c>
      <c r="C277" s="410">
        <f>B254</f>
        <v>10</v>
      </c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</row>
    <row r="278" spans="1:13" ht="15" customHeight="1" x14ac:dyDescent="0.2">
      <c r="A278" s="407" t="s">
        <v>453</v>
      </c>
      <c r="B278" s="409">
        <v>0.25</v>
      </c>
      <c r="C278" s="410">
        <f>B255</f>
        <v>3</v>
      </c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</row>
    <row r="279" spans="1:13" ht="15" customHeight="1" x14ac:dyDescent="0.2">
      <c r="A279" s="407" t="s">
        <v>484</v>
      </c>
      <c r="B279" s="409">
        <v>0.2</v>
      </c>
      <c r="C279" s="410">
        <f>B256</f>
        <v>2.5</v>
      </c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</row>
    <row r="280" spans="1:13" ht="15" customHeight="1" x14ac:dyDescent="0.2">
      <c r="A280" s="407" t="s">
        <v>149</v>
      </c>
      <c r="B280" s="412">
        <f>1-B277-B278-B279</f>
        <v>0.2</v>
      </c>
      <c r="C280" s="410">
        <f>B257</f>
        <v>7</v>
      </c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</row>
    <row r="281" spans="1:13" ht="15" customHeight="1" x14ac:dyDescent="0.2">
      <c r="A281" s="396" t="s">
        <v>485</v>
      </c>
      <c r="B281" s="413">
        <f>SUM(B277:B280)</f>
        <v>1</v>
      </c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</row>
    <row r="282" spans="1:13" ht="15" customHeight="1" x14ac:dyDescent="0.2">
      <c r="A282" s="398" t="s">
        <v>486</v>
      </c>
      <c r="B282" s="414">
        <f>SUMPRODUCT(B277:B280,C277:C280)</f>
        <v>6.15</v>
      </c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</row>
    <row r="283" spans="1:13" ht="15" customHeight="1" x14ac:dyDescent="0.2"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</row>
    <row r="284" spans="1:13" ht="15" customHeight="1" x14ac:dyDescent="0.2">
      <c r="A284" s="369" t="s">
        <v>487</v>
      </c>
      <c r="B284" s="341" t="s">
        <v>483</v>
      </c>
      <c r="C284" s="336" t="s">
        <v>79</v>
      </c>
      <c r="D284" s="198"/>
      <c r="E284" s="198"/>
      <c r="F284" s="198"/>
      <c r="G284" s="198"/>
      <c r="H284" s="198"/>
      <c r="I284" s="198"/>
      <c r="J284" s="198"/>
      <c r="K284" s="198"/>
      <c r="L284" s="190"/>
      <c r="M284" s="190"/>
    </row>
    <row r="285" spans="1:13" ht="15" customHeight="1" x14ac:dyDescent="0.2">
      <c r="A285" t="s">
        <v>175</v>
      </c>
      <c r="B285" s="402">
        <f>B277*C277/$B$282</f>
        <v>0.56910569105691056</v>
      </c>
      <c r="C285" s="398" t="s">
        <v>488</v>
      </c>
      <c r="D285" s="199"/>
      <c r="E285" s="199"/>
      <c r="F285" s="199"/>
      <c r="G285" s="199"/>
      <c r="H285" s="199"/>
      <c r="I285" s="199"/>
      <c r="J285" s="199"/>
      <c r="K285" s="199"/>
      <c r="L285" s="190"/>
      <c r="M285" s="190"/>
    </row>
    <row r="286" spans="1:13" ht="15" customHeight="1" x14ac:dyDescent="0.2">
      <c r="A286" t="s">
        <v>453</v>
      </c>
      <c r="B286" s="402">
        <f>B278*C278/$B$282</f>
        <v>0.12195121951219512</v>
      </c>
      <c r="C286" s="398" t="s">
        <v>488</v>
      </c>
      <c r="D286" s="199"/>
      <c r="E286" s="199"/>
      <c r="F286" s="199"/>
      <c r="G286" s="199"/>
      <c r="H286" s="199"/>
      <c r="I286" s="199"/>
      <c r="J286" s="199"/>
      <c r="K286" s="199"/>
      <c r="L286" s="190"/>
      <c r="M286" s="190"/>
    </row>
    <row r="287" spans="1:13" ht="15" customHeight="1" x14ac:dyDescent="0.2">
      <c r="A287" t="s">
        <v>484</v>
      </c>
      <c r="B287" s="402">
        <f>B279*C279/$B$282</f>
        <v>8.1300813008130079E-2</v>
      </c>
      <c r="C287" s="398" t="s">
        <v>488</v>
      </c>
      <c r="D287" s="199"/>
      <c r="E287" s="199"/>
      <c r="F287" s="199"/>
      <c r="G287" s="199"/>
      <c r="H287" s="199"/>
      <c r="I287" s="199"/>
      <c r="J287" s="199"/>
      <c r="K287" s="199"/>
      <c r="L287" s="190"/>
      <c r="M287" s="190"/>
    </row>
    <row r="288" spans="1:13" ht="15" customHeight="1" x14ac:dyDescent="0.2">
      <c r="A288" t="s">
        <v>149</v>
      </c>
      <c r="B288" s="402">
        <f>B280*C280/$B$282</f>
        <v>0.22764227642276424</v>
      </c>
      <c r="C288" s="398" t="s">
        <v>488</v>
      </c>
      <c r="D288" s="199"/>
      <c r="E288" s="199"/>
      <c r="F288" s="199"/>
      <c r="G288" s="199"/>
      <c r="H288" s="199"/>
      <c r="I288" s="199"/>
      <c r="J288" s="199"/>
      <c r="K288" s="199"/>
      <c r="L288" s="190"/>
      <c r="M288" s="190"/>
    </row>
    <row r="289" spans="1:13" ht="15" customHeight="1" x14ac:dyDescent="0.2">
      <c r="A289" t="s">
        <v>485</v>
      </c>
      <c r="B289" s="337">
        <f>SUM(B285:B288)</f>
        <v>1</v>
      </c>
      <c r="D289" s="199"/>
      <c r="E289" s="199"/>
      <c r="F289" s="199"/>
      <c r="G289" s="199"/>
      <c r="H289" s="199"/>
      <c r="I289" s="199"/>
      <c r="J289" s="199"/>
      <c r="K289" s="199"/>
      <c r="L289" s="190"/>
      <c r="M289" s="190"/>
    </row>
    <row r="290" spans="1:13" ht="15" customHeight="1" x14ac:dyDescent="0.2">
      <c r="D290" s="199"/>
      <c r="E290" s="199"/>
      <c r="F290" s="199"/>
      <c r="G290" s="199"/>
      <c r="H290" s="199"/>
      <c r="I290" s="199"/>
      <c r="J290" s="199"/>
      <c r="K290" s="199"/>
      <c r="L290" s="190"/>
      <c r="M290" s="190"/>
    </row>
    <row r="291" spans="1:13" ht="15" customHeight="1" x14ac:dyDescent="0.2">
      <c r="A291" s="336" t="s">
        <v>489</v>
      </c>
      <c r="B291" s="341" t="s">
        <v>483</v>
      </c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</row>
    <row r="292" spans="1:13" ht="15" customHeight="1" x14ac:dyDescent="0.2">
      <c r="A292" s="393" t="s">
        <v>490</v>
      </c>
      <c r="B292" s="394"/>
      <c r="C292" s="395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</row>
    <row r="293" spans="1:13" ht="15" customHeight="1" x14ac:dyDescent="0.2">
      <c r="A293" s="396" t="s">
        <v>491</v>
      </c>
      <c r="B293" s="397">
        <v>0.6</v>
      </c>
      <c r="C293" s="398" t="s">
        <v>492</v>
      </c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</row>
    <row r="294" spans="1:13" ht="15" customHeight="1" x14ac:dyDescent="0.2">
      <c r="A294" s="396" t="s">
        <v>493</v>
      </c>
      <c r="B294" s="399">
        <v>8</v>
      </c>
      <c r="C294" s="398" t="s">
        <v>494</v>
      </c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</row>
    <row r="295" spans="1:13" ht="15" customHeight="1" x14ac:dyDescent="0.2">
      <c r="A295" s="396" t="s">
        <v>495</v>
      </c>
      <c r="B295" s="397">
        <v>0.1</v>
      </c>
      <c r="C295" s="398" t="s">
        <v>496</v>
      </c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</row>
    <row r="296" spans="1:13" ht="15" customHeight="1" x14ac:dyDescent="0.2">
      <c r="A296" s="396" t="s">
        <v>497</v>
      </c>
      <c r="B296" s="397">
        <v>0.05</v>
      </c>
      <c r="C296" s="398" t="s">
        <v>498</v>
      </c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</row>
    <row r="297" spans="1:13" ht="15" customHeight="1" x14ac:dyDescent="0.2">
      <c r="A297" s="396" t="s">
        <v>499</v>
      </c>
      <c r="B297" s="397">
        <v>0.8</v>
      </c>
      <c r="C297" s="398" t="s">
        <v>500</v>
      </c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</row>
    <row r="298" spans="1:13" ht="15" customHeight="1" x14ac:dyDescent="0.2">
      <c r="A298" s="396" t="s">
        <v>501</v>
      </c>
      <c r="B298" s="397">
        <v>0.5</v>
      </c>
      <c r="C298" s="398" t="s">
        <v>502</v>
      </c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</row>
    <row r="299" spans="1:13" ht="15" customHeight="1" x14ac:dyDescent="0.2">
      <c r="A299" s="396" t="s">
        <v>503</v>
      </c>
      <c r="B299" s="397">
        <v>0.3</v>
      </c>
      <c r="C299" s="398" t="s">
        <v>504</v>
      </c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</row>
    <row r="300" spans="1:13" ht="15" customHeight="1" x14ac:dyDescent="0.2">
      <c r="A300" s="400" t="s">
        <v>505</v>
      </c>
      <c r="B300" s="401">
        <f>100+B293*B294*100+B295*100+B296*100+B297*B293*100+B298*B295*100+B299*B296*100</f>
        <v>649.5</v>
      </c>
      <c r="C300" s="398" t="s">
        <v>506</v>
      </c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</row>
    <row r="301" spans="1:13" ht="15" customHeight="1" x14ac:dyDescent="0.2">
      <c r="A301" s="336"/>
      <c r="B301" s="341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</row>
    <row r="302" spans="1:13" ht="15" customHeight="1" x14ac:dyDescent="0.2">
      <c r="A302" s="336"/>
      <c r="B302" s="341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</row>
    <row r="303" spans="1:13" ht="15" customHeight="1" x14ac:dyDescent="0.2">
      <c r="A303" t="s">
        <v>507</v>
      </c>
      <c r="B303" s="403">
        <f>100/B300</f>
        <v>0.15396458814472672</v>
      </c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</row>
    <row r="304" spans="1:13" ht="15" customHeight="1" x14ac:dyDescent="0.2">
      <c r="A304" t="s">
        <v>508</v>
      </c>
      <c r="B304" s="403">
        <f>(B293*B294*100)/B300</f>
        <v>0.73903002309468824</v>
      </c>
      <c r="D304" s="198"/>
      <c r="E304" s="198"/>
      <c r="F304" s="198"/>
      <c r="G304" s="198"/>
      <c r="H304" s="198"/>
      <c r="I304" s="198"/>
      <c r="J304" s="198"/>
      <c r="K304" s="198"/>
      <c r="L304" s="190"/>
      <c r="M304" s="190"/>
    </row>
    <row r="305" spans="1:13" ht="15" customHeight="1" x14ac:dyDescent="0.2">
      <c r="A305" t="s">
        <v>509</v>
      </c>
      <c r="B305" s="403">
        <f>(B297*B293*100+B298*B295*100+B299*B296*100)/B300</f>
        <v>8.391070053887606E-2</v>
      </c>
      <c r="D305" s="199"/>
      <c r="E305" s="199"/>
      <c r="F305" s="199"/>
      <c r="G305" s="199"/>
      <c r="H305" s="199"/>
      <c r="I305" s="199"/>
      <c r="J305" s="199"/>
      <c r="K305" s="199"/>
      <c r="L305" s="190"/>
      <c r="M305" s="190"/>
    </row>
    <row r="306" spans="1:13" ht="15" customHeight="1" x14ac:dyDescent="0.2">
      <c r="A306" t="s">
        <v>510</v>
      </c>
      <c r="B306" s="403">
        <f>(B295*100)/B300</f>
        <v>1.5396458814472672E-2</v>
      </c>
      <c r="D306" s="200"/>
      <c r="E306" s="200"/>
      <c r="F306" s="200"/>
      <c r="G306" s="200"/>
      <c r="H306" s="200"/>
      <c r="I306" s="200"/>
      <c r="J306" s="200"/>
      <c r="K306" s="200"/>
      <c r="L306" s="190"/>
      <c r="M306" s="190"/>
    </row>
    <row r="307" spans="1:13" ht="15" customHeight="1" x14ac:dyDescent="0.2">
      <c r="A307" t="s">
        <v>511</v>
      </c>
      <c r="B307" s="403">
        <f>(B296*100)/B300</f>
        <v>7.6982294072363358E-3</v>
      </c>
      <c r="D307" s="199"/>
      <c r="E307" s="199"/>
      <c r="F307" s="199"/>
      <c r="G307" s="199"/>
      <c r="H307" s="199"/>
      <c r="I307" s="199"/>
      <c r="J307" s="199"/>
      <c r="K307" s="199"/>
      <c r="L307" s="190"/>
      <c r="M307" s="190"/>
    </row>
    <row r="308" spans="1:13" ht="15" customHeight="1" x14ac:dyDescent="0.2">
      <c r="A308" t="s">
        <v>512</v>
      </c>
      <c r="B308" s="337">
        <f>SUM(B303:B307)</f>
        <v>1</v>
      </c>
      <c r="D308" s="201"/>
      <c r="E308" s="201"/>
      <c r="F308" s="201"/>
      <c r="G308" s="201"/>
      <c r="H308" s="201"/>
      <c r="I308" s="201"/>
      <c r="J308" s="201"/>
      <c r="K308" s="201"/>
      <c r="L308" s="190"/>
      <c r="M308" s="190"/>
    </row>
    <row r="309" spans="1:13" ht="15" customHeight="1" x14ac:dyDescent="0.2">
      <c r="A309" t="s">
        <v>513</v>
      </c>
      <c r="B309" s="338">
        <v>0.29870000000000002</v>
      </c>
      <c r="D309" s="200"/>
      <c r="E309" s="200"/>
      <c r="F309" s="200"/>
      <c r="G309" s="200"/>
      <c r="H309" s="200"/>
      <c r="I309" s="200"/>
      <c r="J309" s="200"/>
      <c r="K309" s="200"/>
      <c r="L309" s="190"/>
      <c r="M309" s="190"/>
    </row>
    <row r="310" spans="1:13" ht="15" customHeight="1" x14ac:dyDescent="0.2">
      <c r="A310" t="s">
        <v>514</v>
      </c>
      <c r="B310" s="338">
        <v>0.39929999999999999</v>
      </c>
      <c r="D310" s="202"/>
      <c r="E310" s="202"/>
      <c r="F310" s="202"/>
      <c r="G310" s="202"/>
      <c r="H310" s="202"/>
      <c r="I310" s="202"/>
      <c r="J310" s="202"/>
      <c r="K310" s="202"/>
      <c r="L310" s="190"/>
      <c r="M310" s="190"/>
    </row>
    <row r="311" spans="1:13" x14ac:dyDescent="0.2">
      <c r="A311" t="s">
        <v>515</v>
      </c>
      <c r="B311" s="338">
        <v>5.0299999999999997E-2</v>
      </c>
    </row>
    <row r="312" spans="1:13" x14ac:dyDescent="0.2">
      <c r="A312" t="s">
        <v>516</v>
      </c>
      <c r="B312" s="338">
        <v>0.1007</v>
      </c>
    </row>
    <row r="313" spans="1:13" x14ac:dyDescent="0.2">
      <c r="A313" t="s">
        <v>517</v>
      </c>
      <c r="B313" s="338">
        <v>0.151</v>
      </c>
    </row>
    <row r="314" spans="1:13" x14ac:dyDescent="0.2">
      <c r="A314" t="s">
        <v>518</v>
      </c>
      <c r="B314" s="337">
        <f>SUM(B309:B313)</f>
        <v>1</v>
      </c>
    </row>
    <row r="315" spans="1:13" x14ac:dyDescent="0.2">
      <c r="A315" t="s">
        <v>519</v>
      </c>
      <c r="B315" s="338">
        <v>0.5</v>
      </c>
    </row>
    <row r="316" spans="1:13" x14ac:dyDescent="0.2">
      <c r="A316" t="s">
        <v>520</v>
      </c>
      <c r="B316" s="338">
        <v>0.5</v>
      </c>
    </row>
    <row r="317" spans="1:13" x14ac:dyDescent="0.2">
      <c r="A317" t="s">
        <v>521</v>
      </c>
      <c r="B317" s="337">
        <f>SUM(B315:B316)</f>
        <v>1</v>
      </c>
    </row>
    <row r="318" spans="1:13" x14ac:dyDescent="0.2">
      <c r="A318" s="530" t="s">
        <v>522</v>
      </c>
      <c r="B318" s="337"/>
    </row>
    <row r="319" spans="1:13" x14ac:dyDescent="0.2">
      <c r="A319" s="408" t="s">
        <v>523</v>
      </c>
      <c r="B319" s="531">
        <v>0.4</v>
      </c>
    </row>
    <row r="320" spans="1:13" x14ac:dyDescent="0.2">
      <c r="A320" s="408" t="s">
        <v>524</v>
      </c>
      <c r="B320" s="531">
        <v>0.02</v>
      </c>
    </row>
    <row r="321" spans="1:3" x14ac:dyDescent="0.2">
      <c r="A321" s="408" t="s">
        <v>525</v>
      </c>
      <c r="B321" s="531">
        <v>0.25</v>
      </c>
    </row>
    <row r="322" spans="1:3" x14ac:dyDescent="0.2">
      <c r="B322" s="337"/>
    </row>
    <row r="323" spans="1:3" x14ac:dyDescent="0.2">
      <c r="A323" t="s">
        <v>526</v>
      </c>
      <c r="B323" s="338">
        <v>1</v>
      </c>
    </row>
    <row r="325" spans="1:3" x14ac:dyDescent="0.2">
      <c r="A325" s="336" t="s">
        <v>486</v>
      </c>
      <c r="B325" s="342">
        <f>B285*B254+B286*B255+B287*B256+B288*B257</f>
        <v>7.8536585365853666</v>
      </c>
      <c r="C325" t="s">
        <v>527</v>
      </c>
    </row>
    <row r="327" spans="1:3" x14ac:dyDescent="0.2">
      <c r="A327" t="s">
        <v>528</v>
      </c>
      <c r="B327" s="343">
        <v>0.72599999999999998</v>
      </c>
      <c r="C327" t="s">
        <v>529</v>
      </c>
    </row>
  </sheetData>
  <mergeCells count="6">
    <mergeCell ref="A192:L192"/>
    <mergeCell ref="A2:L2"/>
    <mergeCell ref="A138:L138"/>
    <mergeCell ref="A121:L121"/>
    <mergeCell ref="A1:L1"/>
    <mergeCell ref="A127:L127"/>
  </mergeCells>
  <conditionalFormatting sqref="C163:L167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5" right="0.75" top="1" bottom="1" header="0.511811023622047" footer="0.511811023622047"/>
  <pageSetup paperSize="9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M28"/>
  <sheetViews>
    <sheetView zoomScale="200" zoomScaleNormal="100" workbookViewId="0">
      <selection activeCell="D21" sqref="D21"/>
    </sheetView>
  </sheetViews>
  <sheetFormatPr baseColWidth="10" defaultColWidth="8.6640625" defaultRowHeight="15" x14ac:dyDescent="0.2"/>
  <cols>
    <col min="1" max="1" width="12" customWidth="1"/>
    <col min="2" max="2" width="28" customWidth="1"/>
    <col min="3" max="3" width="14" customWidth="1"/>
    <col min="4" max="13" width="12" customWidth="1"/>
  </cols>
  <sheetData>
    <row r="1" spans="1:13" ht="27.75" customHeight="1" x14ac:dyDescent="0.2">
      <c r="A1" s="677" t="s">
        <v>530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</row>
    <row r="2" spans="1:13" ht="15" customHeight="1" x14ac:dyDescent="0.2">
      <c r="A2" s="679" t="s">
        <v>531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</row>
    <row r="4" spans="1:13" ht="21.75" customHeight="1" x14ac:dyDescent="0.2">
      <c r="A4" s="251" t="s">
        <v>532</v>
      </c>
      <c r="B4" s="252" t="s">
        <v>533</v>
      </c>
      <c r="C4" s="252" t="s">
        <v>534</v>
      </c>
      <c r="D4" s="252" t="s">
        <v>535</v>
      </c>
      <c r="E4" s="252" t="s">
        <v>536</v>
      </c>
      <c r="F4" s="252" t="s">
        <v>537</v>
      </c>
      <c r="G4" s="252" t="s">
        <v>538</v>
      </c>
      <c r="H4" s="252" t="s">
        <v>539</v>
      </c>
      <c r="I4" s="252" t="s">
        <v>540</v>
      </c>
      <c r="J4" s="252" t="s">
        <v>541</v>
      </c>
      <c r="K4" s="252" t="s">
        <v>542</v>
      </c>
      <c r="L4" s="252" t="s">
        <v>543</v>
      </c>
      <c r="M4" s="252" t="s">
        <v>544</v>
      </c>
    </row>
    <row r="5" spans="1:13" ht="15" customHeight="1" x14ac:dyDescent="0.2">
      <c r="A5" s="8" t="s">
        <v>175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</row>
    <row r="6" spans="1:13" ht="15" customHeight="1" x14ac:dyDescent="0.2">
      <c r="A6" s="210">
        <v>0.5</v>
      </c>
      <c r="B6" s="237" t="s">
        <v>545</v>
      </c>
      <c r="C6" s="235">
        <v>700</v>
      </c>
      <c r="D6" s="2">
        <f>ROUND('Patient Acquisition'!B55/12*Assumptions!$B$303,0)</f>
        <v>93</v>
      </c>
      <c r="E6" s="2">
        <f>ROUND('Patient Acquisition'!C55/12*Assumptions!$B$303,0)</f>
        <v>147</v>
      </c>
      <c r="F6" s="2">
        <f>ROUND('Patient Acquisition'!D55/12*Assumptions!$B$303,0)</f>
        <v>202</v>
      </c>
      <c r="G6" s="2">
        <f>ROUND('Patient Acquisition'!E55/12*Assumptions!$B$303,0)</f>
        <v>225</v>
      </c>
      <c r="H6" s="2">
        <f>ROUND('Patient Acquisition'!F55/12*Assumptions!$B$303,0)</f>
        <v>248</v>
      </c>
      <c r="I6" s="2">
        <f>ROUND('Patient Acquisition'!G55/12*Assumptions!$B$303,0)</f>
        <v>280</v>
      </c>
      <c r="J6" s="2">
        <f>ROUND('Patient Acquisition'!H55/12*Assumptions!$B$303,0)</f>
        <v>310</v>
      </c>
      <c r="K6" s="2">
        <f>ROUND('Patient Acquisition'!I55/12*Assumptions!$B$303,0)</f>
        <v>310</v>
      </c>
      <c r="L6" s="2">
        <f>ROUND('Patient Acquisition'!J55/12*Assumptions!$B$303,0)</f>
        <v>310</v>
      </c>
      <c r="M6" s="2">
        <f>ROUND('Patient Acquisition'!K55/12*Assumptions!$B$303,0)</f>
        <v>310</v>
      </c>
    </row>
    <row r="7" spans="1:13" ht="15" customHeight="1" x14ac:dyDescent="0.2">
      <c r="A7" s="210">
        <v>1</v>
      </c>
      <c r="B7" s="237" t="s">
        <v>546</v>
      </c>
      <c r="C7" s="235">
        <v>600</v>
      </c>
      <c r="D7" s="2">
        <f>ROUND('Patient Acquisition'!B55/12*Assumptions!$B$304,0)</f>
        <v>447</v>
      </c>
      <c r="E7" s="2">
        <f>ROUND('Patient Acquisition'!C55/12*Assumptions!$B$304,0)</f>
        <v>708</v>
      </c>
      <c r="F7" s="2">
        <f>ROUND('Patient Acquisition'!D55/12*Assumptions!$B$304,0)</f>
        <v>969</v>
      </c>
      <c r="G7" s="2">
        <f>ROUND('Patient Acquisition'!E55/12*Assumptions!$B$304,0)</f>
        <v>1080</v>
      </c>
      <c r="H7" s="2">
        <f>ROUND('Patient Acquisition'!F55/12*Assumptions!$B$304,0)</f>
        <v>1192</v>
      </c>
      <c r="I7" s="2">
        <f>ROUND('Patient Acquisition'!G55/12*Assumptions!$B$304,0)</f>
        <v>1342</v>
      </c>
      <c r="J7" s="2">
        <f>ROUND('Patient Acquisition'!H55/12*Assumptions!$B$304,0)</f>
        <v>1490</v>
      </c>
      <c r="K7" s="2">
        <f>ROUND('Patient Acquisition'!I55/12*Assumptions!$B$304,0)</f>
        <v>1490</v>
      </c>
      <c r="L7" s="2">
        <f>ROUND('Patient Acquisition'!J55/12*Assumptions!$B$304,0)</f>
        <v>1490</v>
      </c>
      <c r="M7" s="2">
        <f>ROUND('Patient Acquisition'!K55/12*Assumptions!$B$304,0)</f>
        <v>1490</v>
      </c>
    </row>
    <row r="8" spans="1:13" ht="15" customHeight="1" x14ac:dyDescent="0.2">
      <c r="A8" s="210">
        <v>0.5</v>
      </c>
      <c r="B8" s="237" t="s">
        <v>547</v>
      </c>
      <c r="C8" s="235">
        <v>350</v>
      </c>
      <c r="D8" s="2">
        <f>ROUND('Patient Acquisition'!B55/12*Assumptions!$B$305,0)</f>
        <v>51</v>
      </c>
      <c r="E8" s="2">
        <f>ROUND('Patient Acquisition'!C55/12*Assumptions!$B$305,0)</f>
        <v>80</v>
      </c>
      <c r="F8" s="2">
        <f>ROUND('Patient Acquisition'!D55/12*Assumptions!$B$305,0)</f>
        <v>110</v>
      </c>
      <c r="G8" s="2">
        <f>ROUND('Patient Acquisition'!E55/12*Assumptions!$B$305,0)</f>
        <v>123</v>
      </c>
      <c r="H8" s="2">
        <f>ROUND('Patient Acquisition'!F55/12*Assumptions!$B$305,0)</f>
        <v>135</v>
      </c>
      <c r="I8" s="2">
        <f>ROUND('Patient Acquisition'!G55/12*Assumptions!$B$305,0)</f>
        <v>152</v>
      </c>
      <c r="J8" s="2">
        <f>ROUND('Patient Acquisition'!H55/12*Assumptions!$B$305,0)</f>
        <v>169</v>
      </c>
      <c r="K8" s="2">
        <f>ROUND('Patient Acquisition'!I55/12*Assumptions!$B$305,0)</f>
        <v>169</v>
      </c>
      <c r="L8" s="2">
        <f>ROUND('Patient Acquisition'!J55/12*Assumptions!$B$305,0)</f>
        <v>169</v>
      </c>
      <c r="M8" s="2">
        <f>ROUND('Patient Acquisition'!K55/12*Assumptions!$B$305,0)</f>
        <v>169</v>
      </c>
    </row>
    <row r="9" spans="1:13" ht="15" customHeight="1" x14ac:dyDescent="0.2">
      <c r="A9" s="210">
        <v>0.5</v>
      </c>
      <c r="B9" s="237" t="s">
        <v>548</v>
      </c>
      <c r="C9" s="235">
        <v>700</v>
      </c>
      <c r="D9" s="2">
        <f>ROUND('Patient Acquisition'!B55/12*Assumptions!$B$306,0)</f>
        <v>9</v>
      </c>
      <c r="E9" s="2">
        <f>ROUND('Patient Acquisition'!C55/12*Assumptions!$B$306,0)</f>
        <v>15</v>
      </c>
      <c r="F9" s="2">
        <f>ROUND('Patient Acquisition'!D55/12*Assumptions!$B$306,0)</f>
        <v>20</v>
      </c>
      <c r="G9" s="2">
        <f>ROUND('Patient Acquisition'!E55/12*Assumptions!$B$306,0)</f>
        <v>23</v>
      </c>
      <c r="H9" s="2">
        <f>ROUND('Patient Acquisition'!F55/12*Assumptions!$B$306,0)</f>
        <v>25</v>
      </c>
      <c r="I9" s="2">
        <f>ROUND('Patient Acquisition'!G55/12*Assumptions!$B$306,0)</f>
        <v>28</v>
      </c>
      <c r="J9" s="2">
        <f>ROUND('Patient Acquisition'!H55/12*Assumptions!$B$306,0)</f>
        <v>31</v>
      </c>
      <c r="K9" s="2">
        <f>ROUND('Patient Acquisition'!I55/12*Assumptions!$B$306,0)</f>
        <v>31</v>
      </c>
      <c r="L9" s="2">
        <f>ROUND('Patient Acquisition'!J55/12*Assumptions!$B$306,0)</f>
        <v>31</v>
      </c>
      <c r="M9" s="2">
        <f>ROUND('Patient Acquisition'!K55/12*Assumptions!$B$306,0)</f>
        <v>31</v>
      </c>
    </row>
    <row r="10" spans="1:13" ht="15" customHeight="1" x14ac:dyDescent="0.2">
      <c r="A10" s="210">
        <v>1</v>
      </c>
      <c r="B10" s="237" t="s">
        <v>549</v>
      </c>
      <c r="C10" s="235">
        <v>1000</v>
      </c>
      <c r="D10" s="2">
        <f>ROUND('Patient Acquisition'!B55/12*Assumptions!$B$307,0)</f>
        <v>5</v>
      </c>
      <c r="E10" s="2">
        <f>ROUND('Patient Acquisition'!C55/12*Assumptions!$B$307,0)</f>
        <v>7</v>
      </c>
      <c r="F10" s="2">
        <f>ROUND('Patient Acquisition'!D55/12*Assumptions!$B$307,0)</f>
        <v>10</v>
      </c>
      <c r="G10" s="2">
        <f>ROUND('Patient Acquisition'!E55/12*Assumptions!$B$307,0)</f>
        <v>11</v>
      </c>
      <c r="H10" s="2">
        <f>ROUND('Patient Acquisition'!F55/12*Assumptions!$B$307,0)</f>
        <v>12</v>
      </c>
      <c r="I10" s="2">
        <f>ROUND('Patient Acquisition'!G55/12*Assumptions!$B$307,0)</f>
        <v>14</v>
      </c>
      <c r="J10" s="2">
        <f>ROUND('Patient Acquisition'!H55/12*Assumptions!$B$307,0)</f>
        <v>16</v>
      </c>
      <c r="K10" s="2">
        <f>ROUND('Patient Acquisition'!I55/12*Assumptions!$B$307,0)</f>
        <v>16</v>
      </c>
      <c r="L10" s="2">
        <f>ROUND('Patient Acquisition'!J55/12*Assumptions!$B$307,0)</f>
        <v>16</v>
      </c>
      <c r="M10" s="2">
        <f>ROUND('Patient Acquisition'!K55/12*Assumptions!$B$307,0)</f>
        <v>16</v>
      </c>
    </row>
    <row r="11" spans="1:13" ht="15" customHeight="1" x14ac:dyDescent="0.2">
      <c r="A11" s="8" t="s">
        <v>453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</row>
    <row r="12" spans="1:13" ht="15" customHeight="1" x14ac:dyDescent="0.2">
      <c r="A12" s="210">
        <v>0.5</v>
      </c>
      <c r="B12" s="237" t="s">
        <v>550</v>
      </c>
      <c r="C12" s="235">
        <v>350</v>
      </c>
      <c r="D12" s="2">
        <f>ROUND('Patient Acquisition'!B61/12*Assumptions!$B$309,0)</f>
        <v>39</v>
      </c>
      <c r="E12" s="2">
        <f>ROUND('Patient Acquisition'!C61/12*Assumptions!$B$309,0)</f>
        <v>61</v>
      </c>
      <c r="F12" s="2">
        <f>ROUND('Patient Acquisition'!D61/12*Assumptions!$B$309,0)</f>
        <v>84</v>
      </c>
      <c r="G12" s="2">
        <f>ROUND('Patient Acquisition'!E61/12*Assumptions!$B$309,0)</f>
        <v>94</v>
      </c>
      <c r="H12" s="2">
        <f>ROUND('Patient Acquisition'!F61/12*Assumptions!$B$309,0)</f>
        <v>103</v>
      </c>
      <c r="I12" s="2">
        <f>ROUND('Patient Acquisition'!G61/12*Assumptions!$B$309,0)</f>
        <v>116</v>
      </c>
      <c r="J12" s="2">
        <f>ROUND('Patient Acquisition'!H61/12*Assumptions!$B$309,0)</f>
        <v>125</v>
      </c>
      <c r="K12" s="2">
        <f>ROUND('Patient Acquisition'!I61/12*Assumptions!$B$309,0)</f>
        <v>125</v>
      </c>
      <c r="L12" s="2">
        <f>ROUND('Patient Acquisition'!J61/12*Assumptions!$B$309,0)</f>
        <v>125</v>
      </c>
      <c r="M12" s="2">
        <f>ROUND('Patient Acquisition'!K61/12*Assumptions!$B$309,0)</f>
        <v>125</v>
      </c>
    </row>
    <row r="13" spans="1:13" ht="15" customHeight="1" x14ac:dyDescent="0.2">
      <c r="A13" s="210">
        <v>1</v>
      </c>
      <c r="B13" s="237" t="s">
        <v>551</v>
      </c>
      <c r="C13" s="235">
        <v>500</v>
      </c>
      <c r="D13" s="2">
        <f>ROUND('Patient Acquisition'!B61/12*Assumptions!$B$310,0)</f>
        <v>52</v>
      </c>
      <c r="E13" s="2">
        <f>ROUND('Patient Acquisition'!C61/12*Assumptions!$B$310,0)</f>
        <v>82</v>
      </c>
      <c r="F13" s="2">
        <f>ROUND('Patient Acquisition'!D61/12*Assumptions!$B$310,0)</f>
        <v>112</v>
      </c>
      <c r="G13" s="2">
        <f>ROUND('Patient Acquisition'!E61/12*Assumptions!$B$310,0)</f>
        <v>125</v>
      </c>
      <c r="H13" s="2">
        <f>ROUND('Patient Acquisition'!F61/12*Assumptions!$B$310,0)</f>
        <v>138</v>
      </c>
      <c r="I13" s="2">
        <f>ROUND('Patient Acquisition'!G61/12*Assumptions!$B$310,0)</f>
        <v>155</v>
      </c>
      <c r="J13" s="2">
        <f>ROUND('Patient Acquisition'!H61/12*Assumptions!$B$310,0)</f>
        <v>167</v>
      </c>
      <c r="K13" s="2">
        <f>ROUND('Patient Acquisition'!I61/12*Assumptions!$B$310,0)</f>
        <v>167</v>
      </c>
      <c r="L13" s="2">
        <f>ROUND('Patient Acquisition'!J61/12*Assumptions!$B$310,0)</f>
        <v>167</v>
      </c>
      <c r="M13" s="2">
        <f>ROUND('Patient Acquisition'!K61/12*Assumptions!$B$310,0)</f>
        <v>167</v>
      </c>
    </row>
    <row r="14" spans="1:13" ht="15" customHeight="1" x14ac:dyDescent="0.2">
      <c r="A14" s="210">
        <v>2</v>
      </c>
      <c r="B14" s="237" t="s">
        <v>552</v>
      </c>
      <c r="C14" s="235">
        <v>3500</v>
      </c>
      <c r="D14" s="2">
        <f>ROUND('Patient Acquisition'!B61/12*Assumptions!$B$311,0)</f>
        <v>7</v>
      </c>
      <c r="E14" s="2">
        <f>ROUND('Patient Acquisition'!C61/12*Assumptions!$B$311,0)</f>
        <v>10</v>
      </c>
      <c r="F14" s="2">
        <f>ROUND('Patient Acquisition'!D61/12*Assumptions!$B$311,0)</f>
        <v>14</v>
      </c>
      <c r="G14" s="2">
        <f>ROUND('Patient Acquisition'!E61/12*Assumptions!$B$311,0)</f>
        <v>16</v>
      </c>
      <c r="H14" s="2">
        <f>ROUND('Patient Acquisition'!F61/12*Assumptions!$B$311,0)</f>
        <v>17</v>
      </c>
      <c r="I14" s="2">
        <f>ROUND('Patient Acquisition'!G61/12*Assumptions!$B$311,0)</f>
        <v>20</v>
      </c>
      <c r="J14" s="2">
        <f>ROUND('Patient Acquisition'!H61/12*Assumptions!$B$311,0)</f>
        <v>21</v>
      </c>
      <c r="K14" s="2">
        <f>ROUND('Patient Acquisition'!I61/12*Assumptions!$B$311,0)</f>
        <v>21</v>
      </c>
      <c r="L14" s="2">
        <f>ROUND('Patient Acquisition'!J61/12*Assumptions!$B$311,0)</f>
        <v>21</v>
      </c>
      <c r="M14" s="2">
        <f>ROUND('Patient Acquisition'!K61/12*Assumptions!$B$311,0)</f>
        <v>21</v>
      </c>
    </row>
    <row r="15" spans="1:13" ht="15" customHeight="1" x14ac:dyDescent="0.2">
      <c r="A15" s="210">
        <v>1.5</v>
      </c>
      <c r="B15" s="237" t="s">
        <v>553</v>
      </c>
      <c r="C15" s="235">
        <v>2200</v>
      </c>
      <c r="D15" s="2">
        <f>ROUND('Patient Acquisition'!B61/12*Assumptions!$B$312,0)</f>
        <v>13</v>
      </c>
      <c r="E15" s="2">
        <f>ROUND('Patient Acquisition'!C61/12*Assumptions!$B$312,0)</f>
        <v>21</v>
      </c>
      <c r="F15" s="2">
        <f>ROUND('Patient Acquisition'!D61/12*Assumptions!$B$312,0)</f>
        <v>28</v>
      </c>
      <c r="G15" s="2">
        <f>ROUND('Patient Acquisition'!E61/12*Assumptions!$B$312,0)</f>
        <v>32</v>
      </c>
      <c r="H15" s="2">
        <f>ROUND('Patient Acquisition'!F61/12*Assumptions!$B$312,0)</f>
        <v>35</v>
      </c>
      <c r="I15" s="2">
        <f>ROUND('Patient Acquisition'!G61/12*Assumptions!$B$312,0)</f>
        <v>39</v>
      </c>
      <c r="J15" s="2">
        <f>ROUND('Patient Acquisition'!H61/12*Assumptions!$B$312,0)</f>
        <v>42</v>
      </c>
      <c r="K15" s="2">
        <f>ROUND('Patient Acquisition'!I61/12*Assumptions!$B$312,0)</f>
        <v>42</v>
      </c>
      <c r="L15" s="2">
        <f>ROUND('Patient Acquisition'!J61/12*Assumptions!$B$312,0)</f>
        <v>42</v>
      </c>
      <c r="M15" s="2">
        <f>ROUND('Patient Acquisition'!K61/12*Assumptions!$B$312,0)</f>
        <v>42</v>
      </c>
    </row>
    <row r="16" spans="1:13" ht="15" customHeight="1" x14ac:dyDescent="0.2">
      <c r="A16" s="210">
        <v>0.5</v>
      </c>
      <c r="B16" s="237" t="s">
        <v>547</v>
      </c>
      <c r="C16" s="235">
        <v>250</v>
      </c>
      <c r="D16" s="2">
        <f>ROUND('Patient Acquisition'!B61/12*Assumptions!$B$313,0)</f>
        <v>20</v>
      </c>
      <c r="E16" s="2">
        <f>ROUND('Patient Acquisition'!C61/12*Assumptions!$B$313,0)</f>
        <v>31</v>
      </c>
      <c r="F16" s="2">
        <f>ROUND('Patient Acquisition'!D61/12*Assumptions!$B$313,0)</f>
        <v>42</v>
      </c>
      <c r="G16" s="2">
        <f>ROUND('Patient Acquisition'!E61/12*Assumptions!$B$313,0)</f>
        <v>47</v>
      </c>
      <c r="H16" s="2">
        <f>ROUND('Patient Acquisition'!F61/12*Assumptions!$B$313,0)</f>
        <v>52</v>
      </c>
      <c r="I16" s="2">
        <f>ROUND('Patient Acquisition'!G61/12*Assumptions!$B$313,0)</f>
        <v>59</v>
      </c>
      <c r="J16" s="2">
        <f>ROUND('Patient Acquisition'!H61/12*Assumptions!$B$313,0)</f>
        <v>63</v>
      </c>
      <c r="K16" s="2">
        <f>ROUND('Patient Acquisition'!I61/12*Assumptions!$B$313,0)</f>
        <v>63</v>
      </c>
      <c r="L16" s="2">
        <f>ROUND('Patient Acquisition'!J61/12*Assumptions!$B$313,0)</f>
        <v>63</v>
      </c>
      <c r="M16" s="2">
        <f>ROUND('Patient Acquisition'!K61/12*Assumptions!$B$313,0)</f>
        <v>63</v>
      </c>
    </row>
    <row r="17" spans="1:13" ht="15" customHeight="1" x14ac:dyDescent="0.2">
      <c r="A17" s="8" t="s">
        <v>456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</row>
    <row r="18" spans="1:13" ht="15" customHeight="1" x14ac:dyDescent="0.2">
      <c r="A18" s="210">
        <v>0.5</v>
      </c>
      <c r="B18" s="237" t="s">
        <v>554</v>
      </c>
      <c r="C18" s="235">
        <v>600</v>
      </c>
      <c r="D18" s="2">
        <f>ROUND('Patient Acquisition'!B67/12,0)</f>
        <v>43</v>
      </c>
      <c r="E18" s="2">
        <f>ROUND('Patient Acquisition'!C67/12,0)</f>
        <v>68</v>
      </c>
      <c r="F18" s="2">
        <f>ROUND('Patient Acquisition'!D67/12,0)</f>
        <v>94</v>
      </c>
      <c r="G18" s="2">
        <f>ROUND('Patient Acquisition'!E67/12,0)</f>
        <v>104</v>
      </c>
      <c r="H18" s="2">
        <f>ROUND('Patient Acquisition'!F67/12,0)</f>
        <v>115</v>
      </c>
      <c r="I18" s="2">
        <f>ROUND('Patient Acquisition'!G67/12,0)</f>
        <v>130</v>
      </c>
      <c r="J18" s="2">
        <f>ROUND('Patient Acquisition'!H67/12,0)</f>
        <v>144</v>
      </c>
      <c r="K18" s="2">
        <f>ROUND('Patient Acquisition'!I67/12,0)</f>
        <v>144</v>
      </c>
      <c r="L18" s="2">
        <f>ROUND('Patient Acquisition'!J67/12,0)</f>
        <v>144</v>
      </c>
      <c r="M18" s="2">
        <f>ROUND('Patient Acquisition'!K67/12,0)</f>
        <v>144</v>
      </c>
    </row>
    <row r="19" spans="1:13" ht="15" customHeight="1" x14ac:dyDescent="0.2">
      <c r="A19" s="210">
        <v>0.5</v>
      </c>
      <c r="B19" s="237" t="s">
        <v>555</v>
      </c>
      <c r="C19" s="235">
        <v>600</v>
      </c>
      <c r="D19" s="2">
        <f>ROUND('Patient Acquisition'!B73/12,0)</f>
        <v>43</v>
      </c>
      <c r="E19" s="2">
        <f>ROUND('Patient Acquisition'!C73/12,0)</f>
        <v>68</v>
      </c>
      <c r="F19" s="2">
        <f>ROUND('Patient Acquisition'!D73/12,0)</f>
        <v>94</v>
      </c>
      <c r="G19" s="2">
        <f>ROUND('Patient Acquisition'!E73/12,0)</f>
        <v>104</v>
      </c>
      <c r="H19" s="2">
        <f>ROUND('Patient Acquisition'!F73/12,0)</f>
        <v>115</v>
      </c>
      <c r="I19" s="2">
        <f>ROUND('Patient Acquisition'!G73/12,0)</f>
        <v>130</v>
      </c>
      <c r="J19" s="2">
        <f>ROUND('Patient Acquisition'!H73/12,0)</f>
        <v>144</v>
      </c>
      <c r="K19" s="2">
        <f>ROUND('Patient Acquisition'!I73/12,0)</f>
        <v>144</v>
      </c>
      <c r="L19" s="2">
        <f>ROUND('Patient Acquisition'!J73/12,0)</f>
        <v>144</v>
      </c>
      <c r="M19" s="2">
        <f>ROUND('Patient Acquisition'!K73/12,0)</f>
        <v>144</v>
      </c>
    </row>
    <row r="20" spans="1:13" ht="15" customHeight="1" x14ac:dyDescent="0.2">
      <c r="A20" s="532">
        <v>0.25</v>
      </c>
      <c r="B20" s="533" t="s">
        <v>556</v>
      </c>
      <c r="C20" s="460">
        <v>300</v>
      </c>
      <c r="D20" s="534">
        <f>ROUND(('Patient Acquisition'!B67+'Patient Acquisition'!B73)/12*Assumptions!$B$319,0)</f>
        <v>35</v>
      </c>
      <c r="E20" s="534">
        <f>ROUND(('Patient Acquisition'!C67+'Patient Acquisition'!C73)/12*Assumptions!$B$319,0)</f>
        <v>55</v>
      </c>
      <c r="F20" s="534">
        <f>ROUND(('Patient Acquisition'!D67+'Patient Acquisition'!D73)/12*Assumptions!$B$319,0)</f>
        <v>75</v>
      </c>
      <c r="G20" s="534">
        <f>ROUND(('Patient Acquisition'!E67+'Patient Acquisition'!E73)/12*Assumptions!$B$319,0)</f>
        <v>84</v>
      </c>
      <c r="H20" s="534">
        <f>ROUND(('Patient Acquisition'!F67+'Patient Acquisition'!F73)/12*Assumptions!$B$319,0)</f>
        <v>92</v>
      </c>
      <c r="I20" s="534">
        <f>ROUND(('Patient Acquisition'!G67+'Patient Acquisition'!G73)/12*Assumptions!$B$319,0)</f>
        <v>104</v>
      </c>
      <c r="J20" s="534">
        <f>ROUND(('Patient Acquisition'!H67+'Patient Acquisition'!H73)/12*Assumptions!$B$319,0)</f>
        <v>115</v>
      </c>
      <c r="K20" s="534">
        <f>ROUND(('Patient Acquisition'!I67+'Patient Acquisition'!I73)/12*Assumptions!$B$319,0)</f>
        <v>115</v>
      </c>
      <c r="L20" s="534">
        <f>ROUND(('Patient Acquisition'!J67+'Patient Acquisition'!J73)/12*Assumptions!$B$319,0)</f>
        <v>115</v>
      </c>
      <c r="M20" s="534">
        <f>ROUND(('Patient Acquisition'!K67+'Patient Acquisition'!K73)/12*Assumptions!$B$319,0)</f>
        <v>115</v>
      </c>
    </row>
    <row r="21" spans="1:13" ht="15" customHeight="1" x14ac:dyDescent="0.2">
      <c r="A21" s="532">
        <v>0.5</v>
      </c>
      <c r="B21" s="533" t="s">
        <v>557</v>
      </c>
      <c r="C21" s="460">
        <v>500</v>
      </c>
      <c r="D21" s="534">
        <f>ROUND(('Patient Acquisition'!B55/12*Assumptions!$B$303+'Patient Acquisition'!B67/12)*Assumptions!$B$320,0)</f>
        <v>3</v>
      </c>
      <c r="E21" s="534">
        <f>ROUND(('Patient Acquisition'!C55/12*Assumptions!$B$303+'Patient Acquisition'!C67/12)*Assumptions!$B$320,0)</f>
        <v>4</v>
      </c>
      <c r="F21" s="534">
        <f>ROUND(('Patient Acquisition'!D55/12*Assumptions!$B$303+'Patient Acquisition'!D67/12)*Assumptions!$B$320,0)</f>
        <v>6</v>
      </c>
      <c r="G21" s="534">
        <f>ROUND(('Patient Acquisition'!E55/12*Assumptions!$B$303+'Patient Acquisition'!E67/12)*Assumptions!$B$320,0)</f>
        <v>7</v>
      </c>
      <c r="H21" s="534">
        <f>ROUND(('Patient Acquisition'!F55/12*Assumptions!$B$303+'Patient Acquisition'!F67/12)*Assumptions!$B$320,0)</f>
        <v>7</v>
      </c>
      <c r="I21" s="534">
        <f>ROUND(('Patient Acquisition'!G55/12*Assumptions!$B$303+'Patient Acquisition'!G67/12)*Assumptions!$B$320,0)</f>
        <v>8</v>
      </c>
      <c r="J21" s="534">
        <f>ROUND(('Patient Acquisition'!H55/12*Assumptions!$B$303+'Patient Acquisition'!H67/12)*Assumptions!$B$320,0)</f>
        <v>9</v>
      </c>
      <c r="K21" s="534">
        <f>ROUND(('Patient Acquisition'!I55/12*Assumptions!$B$303+'Patient Acquisition'!I67/12)*Assumptions!$B$320,0)</f>
        <v>9</v>
      </c>
      <c r="L21" s="534">
        <f>ROUND(('Patient Acquisition'!J55/12*Assumptions!$B$303+'Patient Acquisition'!J67/12)*Assumptions!$B$320,0)</f>
        <v>9</v>
      </c>
      <c r="M21" s="534">
        <f>ROUND(('Patient Acquisition'!K55/12*Assumptions!$B$303+'Patient Acquisition'!K67/12)*Assumptions!$B$320,0)</f>
        <v>9</v>
      </c>
    </row>
    <row r="22" spans="1:13" ht="15" customHeight="1" x14ac:dyDescent="0.2">
      <c r="A22" s="532">
        <v>0.5</v>
      </c>
      <c r="B22" s="533" t="s">
        <v>558</v>
      </c>
      <c r="C22" s="460">
        <v>400</v>
      </c>
      <c r="D22" s="534">
        <f>ROUND('Patient Acquisition'!B73/12*Assumptions!$B$321,0)</f>
        <v>11</v>
      </c>
      <c r="E22" s="534">
        <f>ROUND('Patient Acquisition'!C73/12*Assumptions!$B$321,0)</f>
        <v>17</v>
      </c>
      <c r="F22" s="534">
        <f>ROUND('Patient Acquisition'!D73/12*Assumptions!$B$321,0)</f>
        <v>23</v>
      </c>
      <c r="G22" s="534">
        <f>ROUND('Patient Acquisition'!E73/12*Assumptions!$B$321,0)</f>
        <v>26</v>
      </c>
      <c r="H22" s="534">
        <f>ROUND('Patient Acquisition'!F73/12*Assumptions!$B$321,0)</f>
        <v>29</v>
      </c>
      <c r="I22" s="534">
        <f>ROUND('Patient Acquisition'!G73/12*Assumptions!$B$321,0)</f>
        <v>32</v>
      </c>
      <c r="J22" s="534">
        <f>ROUND('Patient Acquisition'!H73/12*Assumptions!$B$321,0)</f>
        <v>36</v>
      </c>
      <c r="K22" s="534">
        <f>ROUND('Patient Acquisition'!I73/12*Assumptions!$B$321,0)</f>
        <v>36</v>
      </c>
      <c r="L22" s="534">
        <f>ROUND('Patient Acquisition'!J73/12*Assumptions!$B$321,0)</f>
        <v>36</v>
      </c>
      <c r="M22" s="534">
        <f>ROUND('Patient Acquisition'!K73/12*Assumptions!$B$321,0)</f>
        <v>36</v>
      </c>
    </row>
    <row r="23" spans="1:13" ht="15" customHeight="1" x14ac:dyDescent="0.2">
      <c r="A23" s="8" t="s">
        <v>149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</row>
    <row r="24" spans="1:13" ht="15" customHeight="1" x14ac:dyDescent="0.2">
      <c r="A24" s="210">
        <v>1</v>
      </c>
      <c r="B24" s="237" t="s">
        <v>559</v>
      </c>
      <c r="C24" s="235">
        <v>450</v>
      </c>
      <c r="D24" s="2">
        <f>ROUND('Patient Acquisition'!B79/12*Assumptions!$B$323,0)</f>
        <v>242</v>
      </c>
      <c r="E24" s="2">
        <f>ROUND('Patient Acquisition'!C79/12*Assumptions!$B$323,0)</f>
        <v>383</v>
      </c>
      <c r="F24" s="2">
        <f>ROUND('Patient Acquisition'!D79/12*Assumptions!$B$323,0)</f>
        <v>525</v>
      </c>
      <c r="G24" s="2">
        <f>ROUND('Patient Acquisition'!E79/12*Assumptions!$B$323,0)</f>
        <v>585</v>
      </c>
      <c r="H24" s="2">
        <f>ROUND('Patient Acquisition'!F79/12*Assumptions!$B$323,0)</f>
        <v>645</v>
      </c>
      <c r="I24" s="2">
        <f>ROUND('Patient Acquisition'!G79/12*Assumptions!$B$323,0)</f>
        <v>696</v>
      </c>
      <c r="J24" s="2">
        <f>ROUND('Patient Acquisition'!H79/12*Assumptions!$B$323,0)</f>
        <v>696</v>
      </c>
      <c r="K24" s="2">
        <f>ROUND('Patient Acquisition'!I79/12*Assumptions!$B$323,0)</f>
        <v>696</v>
      </c>
      <c r="L24" s="2">
        <f>ROUND('Patient Acquisition'!J79/12*Assumptions!$B$323,0)</f>
        <v>696</v>
      </c>
      <c r="M24" s="2">
        <f>ROUND('Patient Acquisition'!K79/12*Assumptions!$B$323,0)</f>
        <v>696</v>
      </c>
    </row>
    <row r="25" spans="1:13" ht="30" customHeight="1" x14ac:dyDescent="0.2">
      <c r="A25" s="8" t="s">
        <v>560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</row>
    <row r="26" spans="1:13" ht="15" customHeight="1" x14ac:dyDescent="0.2">
      <c r="A26" s="181"/>
      <c r="B26" s="237" t="s">
        <v>561</v>
      </c>
      <c r="C26" s="235">
        <v>1200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" customHeight="1" x14ac:dyDescent="0.2">
      <c r="A27" s="181"/>
      <c r="B27" s="237" t="s">
        <v>562</v>
      </c>
      <c r="C27" s="235">
        <v>2200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" customHeight="1" x14ac:dyDescent="0.2">
      <c r="A28" s="181"/>
      <c r="B28" s="237" t="s">
        <v>563</v>
      </c>
      <c r="C28" s="235">
        <v>3800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K29"/>
  <sheetViews>
    <sheetView zoomScale="191" zoomScaleNormal="100" workbookViewId="0">
      <selection activeCell="B8" sqref="B8"/>
    </sheetView>
  </sheetViews>
  <sheetFormatPr baseColWidth="10" defaultColWidth="8.6640625" defaultRowHeight="15" x14ac:dyDescent="0.2"/>
  <cols>
    <col min="1" max="1" width="38" customWidth="1"/>
    <col min="2" max="11" width="14" customWidth="1"/>
  </cols>
  <sheetData>
    <row r="1" spans="1:11" ht="27.75" customHeight="1" x14ac:dyDescent="0.2">
      <c r="A1" s="677" t="s">
        <v>564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5" customHeight="1" x14ac:dyDescent="0.2">
      <c r="A2" s="679" t="s">
        <v>565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4" spans="1:11" ht="21.75" customHeight="1" x14ac:dyDescent="0.2">
      <c r="A4" s="253" t="s">
        <v>267</v>
      </c>
      <c r="B4" s="254" t="s">
        <v>566</v>
      </c>
      <c r="C4" s="254" t="s">
        <v>567</v>
      </c>
      <c r="D4" s="254" t="s">
        <v>568</v>
      </c>
      <c r="E4" s="254" t="s">
        <v>569</v>
      </c>
      <c r="F4" s="254" t="s">
        <v>570</v>
      </c>
      <c r="G4" s="254" t="s">
        <v>571</v>
      </c>
      <c r="H4" s="254" t="s">
        <v>572</v>
      </c>
      <c r="I4" s="254" t="s">
        <v>573</v>
      </c>
      <c r="J4" s="254" t="s">
        <v>574</v>
      </c>
      <c r="K4" s="254" t="s">
        <v>575</v>
      </c>
    </row>
    <row r="5" spans="1:11" ht="15" customHeight="1" x14ac:dyDescent="0.2">
      <c r="A5" s="83" t="s">
        <v>576</v>
      </c>
      <c r="B5" s="84">
        <f>1</f>
        <v>1</v>
      </c>
      <c r="C5" s="84">
        <f>B5*(1+Assumptions!$B$47)</f>
        <v>1.04</v>
      </c>
      <c r="D5" s="84">
        <f>C5*(1+Assumptions!$B$47)</f>
        <v>1.0816000000000001</v>
      </c>
      <c r="E5" s="84">
        <f>D5*(1+Assumptions!$B$47)</f>
        <v>1.1248640000000001</v>
      </c>
      <c r="F5" s="84">
        <f>E5*(1+Assumptions!$B$47)</f>
        <v>1.1698585600000002</v>
      </c>
      <c r="G5" s="84">
        <f>F5*(1+Assumptions!$B$47)</f>
        <v>1.2166529024000003</v>
      </c>
      <c r="H5" s="84">
        <f>G5*(1+Assumptions!$B$47)</f>
        <v>1.2653190184960004</v>
      </c>
      <c r="I5" s="84">
        <f>H5*(1+Assumptions!$B$47)</f>
        <v>1.3159317792358405</v>
      </c>
      <c r="J5" s="84">
        <f>I5*(1+Assumptions!$B$47)</f>
        <v>1.3685690504052741</v>
      </c>
      <c r="K5" s="84">
        <f>J5*(1+Assumptions!$B$47)</f>
        <v>1.4233118124214852</v>
      </c>
    </row>
    <row r="6" spans="1:11" ht="15" customHeight="1" x14ac:dyDescent="0.2">
      <c r="A6" s="47" t="s">
        <v>577</v>
      </c>
      <c r="B6" s="85">
        <v>1</v>
      </c>
      <c r="C6" s="85">
        <v>1</v>
      </c>
      <c r="D6" s="85">
        <v>1</v>
      </c>
      <c r="E6" s="85">
        <v>1</v>
      </c>
      <c r="F6" s="85">
        <v>1</v>
      </c>
      <c r="G6" s="85">
        <v>1</v>
      </c>
      <c r="H6" s="85">
        <v>1</v>
      </c>
      <c r="I6" s="85">
        <v>1</v>
      </c>
      <c r="J6" s="85">
        <v>1</v>
      </c>
      <c r="K6" s="85">
        <v>1</v>
      </c>
    </row>
    <row r="7" spans="1:11" ht="15" customHeight="1" x14ac:dyDescent="0.2">
      <c r="A7" s="181"/>
      <c r="B7" s="86"/>
      <c r="C7" s="86"/>
      <c r="D7" s="86"/>
      <c r="E7" s="86"/>
      <c r="F7" s="86"/>
      <c r="G7" s="86"/>
      <c r="H7" s="86"/>
      <c r="I7" s="86"/>
      <c r="J7" s="86"/>
      <c r="K7" s="86"/>
    </row>
    <row r="8" spans="1:11" ht="15" customHeight="1" x14ac:dyDescent="0.2">
      <c r="A8" s="210" t="s">
        <v>175</v>
      </c>
      <c r="B8" s="2">
        <f>'Price List'!D6*12*'Price List'!C6*B5*B6+'Price List'!D7*12*'Price List'!C7*B5*B6+'Price List'!D8*12*'Price List'!C8*B5*B6+'Price List'!D9*12*'Price List'!C9*B5*B6+'Price List'!D10*12*'Price List'!C10*B5*B6</f>
        <v>4349400</v>
      </c>
      <c r="C8" s="2">
        <f>'Price List'!E6*12*'Price List'!C6*C5*C6+'Price List'!E7*12*'Price List'!C7*C5*C6+'Price List'!E8*12*'Price List'!C8*C5*C6+'Price List'!E9*12*'Price List'!C9*C5*C6+'Price List'!E10*12*'Price List'!C10*C5*C6</f>
        <v>7153536</v>
      </c>
      <c r="D8" s="2">
        <f>'Price List'!F6*12*'Price List'!C6*D5*D6+'Price List'!F7*12*'Price List'!C7*D5*D6+'Price List'!F8*12*'Price List'!C8*D5*D6+'Price List'!F9*12*'Price List'!C9*D5*D6+'Price List'!F10*12*'Price List'!C10*D5*D6</f>
        <v>10192565.760000002</v>
      </c>
      <c r="E8" s="2">
        <f>'Price List'!G6*12*'Price List'!C6*E5*E6+'Price List'!G7*12*'Price List'!C7*E5*E6+'Price List'!G8*12*'Price List'!C8*E5*E6+'Price List'!G9*12*'Price List'!C9*E5*E6+'Price List'!G10*12*'Price List'!C10*E5*E6</f>
        <v>11819845.939200003</v>
      </c>
      <c r="F8" s="2">
        <f>'Price List'!H6*12*'Price List'!C6*F5*F6+'Price List'!H7*12*'Price List'!C7*F5*F6+'Price List'!H8*12*'Price List'!C8*F5*F6+'Price List'!H9*12*'Price List'!C9*F5*F6+'Price List'!H10*12*'Price List'!C10*F5*F6</f>
        <v>13554683.191296</v>
      </c>
      <c r="G8" s="2">
        <f>'Price List'!I6*12*'Price List'!C6*G5*G6+'Price List'!I7*12*'Price List'!C7*G5*G6+'Price List'!I8*12*'Price List'!C8*G5*G6+'Price List'!I9*12*'Price List'!C9*G5*G6+'Price List'!I10*12*'Price List'!C10*G5*G6</f>
        <v>15884620.293734403</v>
      </c>
      <c r="H8" s="2">
        <f>'Price List'!J6*12*'Price List'!C6*H5*H6+'Price List'!J7*12*'Price List'!C7*H5*H6+'Price List'!J8*12*'Price List'!C8*H5*H6+'Price List'!J9*12*'Price List'!C9*H5*H6+'Price List'!J10*12*'Price List'!C10*H5*H6</f>
        <v>18339786.91788473</v>
      </c>
      <c r="I8" s="2">
        <f>'Price List'!K6*12*'Price List'!C6*I5*I6+'Price List'!K7*12*'Price List'!C7*I5*I6+'Price List'!K8*12*'Price List'!C8*I5*I6+'Price List'!K9*12*'Price List'!C9*I5*I6+'Price List'!K10*12*'Price List'!C10*I5*I6</f>
        <v>19073378.394600119</v>
      </c>
      <c r="J8" s="2">
        <f>'Price List'!L6*12*'Price List'!C6*J5*J6+'Price List'!L7*12*'Price List'!C7*J5*J6+'Price List'!L8*12*'Price List'!C8*J5*J6+'Price List'!L9*12*'Price List'!C9*J5*J6+'Price List'!L10*12*'Price List'!C10*J5*J6</f>
        <v>19836313.530384123</v>
      </c>
      <c r="K8" s="2">
        <f>'Price List'!M6*12*'Price List'!C6*K5*K6+'Price List'!M7*12*'Price List'!C7*K5*K6+'Price List'!M8*12*'Price List'!C8*K5*K6+'Price List'!M9*12*'Price List'!C9*K5*K6+'Price List'!M10*12*'Price List'!C10*K5*K6</f>
        <v>20629766.071599487</v>
      </c>
    </row>
    <row r="9" spans="1:11" ht="15" customHeight="1" x14ac:dyDescent="0.2">
      <c r="A9" s="210" t="s">
        <v>453</v>
      </c>
      <c r="B9" s="2">
        <f>'Price List'!D12*12*'Price List'!C12*B5*B6+'Price List'!D13*12*'Price List'!C13*B5*B6+'Price List'!D14*12*'Price List'!C14*B5*B6+'Price List'!D15*12*'Price List'!C15*B5*B6+'Price List'!D16*12*'Price List'!C16*B5*B6</f>
        <v>1173000</v>
      </c>
      <c r="C9" s="2">
        <f>'Price List'!E12*12*'Price List'!C12*C5*C6+'Price List'!E13*12*'Price List'!C13*C5*C6+'Price List'!E14*12*'Price List'!C14*C5*C6+'Price List'!E15*12*'Price List'!C15*C5*C6+'Price List'!E16*12*'Price List'!C16*C5*C6</f>
        <v>1888224</v>
      </c>
      <c r="D9" s="2">
        <f>'Price List'!F12*12*'Price List'!C12*D5*D6+'Price List'!F13*12*'Price List'!C13*D5*D6+'Price List'!F14*12*'Price List'!C14*D5*D6+'Price List'!F15*12*'Price List'!C15*D5*D6+'Price List'!F16*12*'Price List'!C16*D5*D6</f>
        <v>2680204.8000000003</v>
      </c>
      <c r="E9" s="2">
        <f>'Price List'!G12*12*'Price List'!C12*E5*E6+'Price List'!G13*12*'Price List'!C13*E5*E6+'Price List'!G14*12*'Price List'!C14*E5*E6+'Price List'!G15*12*'Price List'!C15*E5*E6+'Price List'!G16*12*'Price List'!C16*E5*E6</f>
        <v>3152543.8464000002</v>
      </c>
      <c r="F9" s="2">
        <f>'Price List'!H12*12*'Price List'!C12*F5*F6+'Price List'!H13*12*'Price List'!C13*F5*F6+'Price List'!H14*12*'Price List'!C14*F5*F6+'Price List'!H15*12*'Price List'!C15*F5*F6+'Price List'!H16*12*'Price List'!C16*F5*F6</f>
        <v>3573449.9573760009</v>
      </c>
      <c r="G9" s="2">
        <f>'Price List'!I12*12*'Price List'!C12*G5*G6+'Price List'!I13*12*'Price List'!C13*G5*G6+'Price List'!I14*12*'Price List'!C14*G5*G6+'Price List'!I15*12*'Price List'!C15*G5*G6+'Price List'!I16*12*'Price List'!C16*G5*G6</f>
        <v>4214242.3233331209</v>
      </c>
      <c r="H9" s="2">
        <f>'Price List'!J12*12*'Price List'!C12*H5*H6+'Price List'!J13*12*'Price List'!C13*H5*H6+'Price List'!J14*12*'Price List'!C14*H5*H6+'Price List'!J15*12*'Price List'!C15*H5*H6+'Price List'!J16*12*'Price List'!C16*H5*H6</f>
        <v>4690284.5377609739</v>
      </c>
      <c r="I9" s="2">
        <f>'Price List'!K12*12*'Price List'!C12*I5*I6+'Price List'!K13*12*'Price List'!C13*I5*I6+'Price List'!K14*12*'Price List'!C14*I5*I6+'Price List'!K15*12*'Price List'!C15*I5*I6+'Price List'!K16*12*'Price List'!C16*I5*I6</f>
        <v>4877895.9192714132</v>
      </c>
      <c r="J9" s="2">
        <f>'Price List'!L12*12*'Price List'!C12*J5*J6+'Price List'!L13*12*'Price List'!C13*J5*J6+'Price List'!L14*12*'Price List'!C14*J5*J6+'Price List'!L15*12*'Price List'!C15*J5*J6+'Price List'!L16*12*'Price List'!C16*J5*J6</f>
        <v>5073011.75604227</v>
      </c>
      <c r="K9" s="2">
        <f>'Price List'!M12*12*'Price List'!C12*K5*K6+'Price List'!M13*12*'Price List'!C13*K5*K6+'Price List'!M14*12*'Price List'!C14*K5*K6+'Price List'!M15*12*'Price List'!C15*K5*K6+'Price List'!M16*12*'Price List'!C16*K5*K6</f>
        <v>5275932.226283961</v>
      </c>
    </row>
    <row r="10" spans="1:11" ht="15" customHeight="1" x14ac:dyDescent="0.2">
      <c r="A10" s="210" t="s">
        <v>456</v>
      </c>
      <c r="B10" s="2">
        <f>'Price List'!D18*12*'Price List'!C18*B5*B6+'Price List'!D19*12*'Price List'!C19*B5*B6+'Price List'!D20*12*'Price List'!C20*B5*B6+'Price List'!D21*12*'Price List'!C21*B5*B6+'Price List'!D22*12*'Price List'!C22*B5*B6</f>
        <v>816000</v>
      </c>
      <c r="C10" s="2">
        <f>'Price List'!E18*12*'Price List'!C18*C5*C6+'Price List'!E19*12*'Price List'!C19*C5*C6+'Price List'!E20*12*'Price List'!C20*C5*C6+'Price List'!E21*12*'Price List'!C21*C5*C6+'Price List'!E22*12*'Price List'!C22*C5*C6</f>
        <v>1334112</v>
      </c>
      <c r="D10" s="2">
        <f>'Price List'!F18*12*'Price List'!C18*D5*D6+'Price List'!F19*12*'Price List'!C19*D5*D6+'Price List'!F20*12*'Price List'!C20*D5*D6+'Price List'!F21*12*'Price List'!C21*D5*D6+'Price List'!F22*12*'Price List'!C22*D5*D6</f>
        <v>1914432.0000000005</v>
      </c>
      <c r="E10" s="2">
        <f>'Price List'!G18*12*'Price List'!C18*E5*E6+'Price List'!G19*12*'Price List'!C19*E5*E6+'Price List'!G20*12*'Price List'!C20*E5*E6+'Price List'!G21*12*'Price List'!C21*E5*E6+'Price List'!G22*12*'Price List'!C22*E5*E6</f>
        <v>2212382.5152000003</v>
      </c>
      <c r="F10" s="2">
        <f>'Price List'!H18*12*'Price List'!C18*F5*F6+'Price List'!H19*12*'Price List'!C19*F5*F6+'Price List'!H20*12*'Price List'!C20*F5*F6+'Price List'!H21*12*'Price List'!C21*F5*F6+'Price List'!H22*12*'Price List'!C22*F5*F6</f>
        <v>2536721.3015040006</v>
      </c>
      <c r="G10" s="2">
        <f>'Price List'!I18*12*'Price List'!C18*G5*G6+'Price List'!I19*12*'Price List'!C19*G5*G6+'Price List'!I20*12*'Price List'!C20*G5*G6+'Price List'!I21*12*'Price List'!C21*G5*G6+'Price List'!I22*12*'Price List'!C22*G5*G6</f>
        <v>2978366.3050752012</v>
      </c>
      <c r="H10" s="2">
        <f>'Price List'!J18*12*'Price List'!C18*H5*H6+'Price List'!J19*12*'Price List'!C19*H5*H6+'Price List'!J20*12*'Price List'!C20*H5*H6+'Price List'!J21*12*'Price List'!C21*H5*H6+'Price List'!J22*12*'Price List'!C22*H5*H6</f>
        <v>3434581.9438055432</v>
      </c>
      <c r="I10" s="2">
        <f>'Price List'!K18*12*'Price List'!C18*I5*I6+'Price List'!K19*12*'Price List'!C19*I5*I6+'Price List'!K20*12*'Price List'!C20*I5*I6+'Price List'!K21*12*'Price List'!C21*I5*I6+'Price List'!K22*12*'Price List'!C22*I5*I6</f>
        <v>3571965.2215577653</v>
      </c>
      <c r="J10" s="2">
        <f>'Price List'!L18*12*'Price List'!C18*J5*J6+'Price List'!L19*12*'Price List'!C19*J5*J6+'Price List'!L20*12*'Price List'!C20*J5*J6+'Price List'!L21*12*'Price List'!C21*J5*J6+'Price List'!L22*12*'Price List'!C22*J5*J6</f>
        <v>3714843.8304200759</v>
      </c>
      <c r="K10" s="2">
        <f>'Price List'!M18*12*'Price List'!C18*K5*K6+'Price List'!M19*12*'Price List'!C19*K5*K6+'Price List'!M20*12*'Price List'!C20*K5*K6+'Price List'!M21*12*'Price List'!C21*K5*K6+'Price List'!M22*12*'Price List'!C22*K5*K6</f>
        <v>3863437.5836368795</v>
      </c>
    </row>
    <row r="11" spans="1:11" ht="15" customHeight="1" x14ac:dyDescent="0.2">
      <c r="A11" s="210" t="s">
        <v>149</v>
      </c>
      <c r="B11" s="2">
        <f>'Price List'!D24*12*'Price List'!C24*B5*B6</f>
        <v>1306800</v>
      </c>
      <c r="C11" s="2">
        <f>'Price List'!E24*12*'Price List'!C24*C5*C6</f>
        <v>2150928</v>
      </c>
      <c r="D11" s="2">
        <f>'Price List'!F24*12*'Price List'!C24*D5*D6</f>
        <v>3066336.0000000005</v>
      </c>
      <c r="E11" s="2">
        <f>'Price List'!G24*12*'Price List'!C24*E5*E6</f>
        <v>3553445.3760000002</v>
      </c>
      <c r="F11" s="2">
        <f>'Price List'!H24*12*'Price List'!C24*F5*F6</f>
        <v>4074617.3644800009</v>
      </c>
      <c r="G11" s="2">
        <f>'Price List'!I24*12*'Price List'!C24*G5*G6</f>
        <v>4572668.2683801614</v>
      </c>
      <c r="H11" s="2">
        <f>'Price List'!J24*12*'Price List'!C24*H5*H6</f>
        <v>4755574.9991153674</v>
      </c>
      <c r="I11" s="2">
        <f>'Price List'!K24*12*'Price List'!C24*I5*I6</f>
        <v>4945797.9990799828</v>
      </c>
      <c r="J11" s="2">
        <f>'Price List'!L24*12*'Price List'!C24*J5*J6</f>
        <v>5143629.9190431824</v>
      </c>
      <c r="K11" s="2">
        <f>'Price List'!M24*12*'Price List'!C24*K5*K6</f>
        <v>5349375.1158049097</v>
      </c>
    </row>
    <row r="12" spans="1:11" ht="15" customHeight="1" x14ac:dyDescent="0.2">
      <c r="A12" s="210" t="s">
        <v>560</v>
      </c>
      <c r="B12" s="235">
        <v>0</v>
      </c>
      <c r="C12" s="235">
        <v>0</v>
      </c>
      <c r="D12" s="235">
        <v>0</v>
      </c>
      <c r="E12" s="235">
        <v>0</v>
      </c>
      <c r="F12" s="235">
        <v>0</v>
      </c>
      <c r="G12" s="235">
        <v>0</v>
      </c>
      <c r="H12" s="235">
        <v>0</v>
      </c>
      <c r="I12" s="235">
        <v>0</v>
      </c>
      <c r="J12" s="235">
        <v>0</v>
      </c>
      <c r="K12" s="235">
        <v>0</v>
      </c>
    </row>
    <row r="13" spans="1:11" ht="15" customHeight="1" x14ac:dyDescent="0.2">
      <c r="A13" s="87" t="s">
        <v>578</v>
      </c>
      <c r="B13" s="88">
        <f t="shared" ref="B13:K13" si="0">SUM(B8:B12)</f>
        <v>7645200</v>
      </c>
      <c r="C13" s="88">
        <f t="shared" si="0"/>
        <v>12526800</v>
      </c>
      <c r="D13" s="88">
        <f t="shared" si="0"/>
        <v>17853538.560000002</v>
      </c>
      <c r="E13" s="88">
        <f t="shared" si="0"/>
        <v>20738217.676800005</v>
      </c>
      <c r="F13" s="88">
        <f t="shared" si="0"/>
        <v>23739471.814656001</v>
      </c>
      <c r="G13" s="88">
        <f t="shared" si="0"/>
        <v>27649897.190522887</v>
      </c>
      <c r="H13" s="88">
        <f t="shared" si="0"/>
        <v>31220228.398566611</v>
      </c>
      <c r="I13" s="88">
        <f t="shared" si="0"/>
        <v>32469037.534509283</v>
      </c>
      <c r="J13" s="88">
        <f t="shared" si="0"/>
        <v>33767799.035889655</v>
      </c>
      <c r="K13" s="88">
        <f t="shared" si="0"/>
        <v>35118510.997325234</v>
      </c>
    </row>
    <row r="14" spans="1:11" ht="15" customHeight="1" x14ac:dyDescent="0.2">
      <c r="A14" s="83" t="s">
        <v>579</v>
      </c>
      <c r="B14" s="84" t="s">
        <v>580</v>
      </c>
      <c r="C14" s="84">
        <f t="shared" ref="C14:K14" si="1">C13/B13-1</f>
        <v>0.63851828598336202</v>
      </c>
      <c r="D14" s="84">
        <f t="shared" si="1"/>
        <v>0.42522739726027425</v>
      </c>
      <c r="E14" s="84">
        <f t="shared" si="1"/>
        <v>0.1615746428701248</v>
      </c>
      <c r="F14" s="84">
        <f t="shared" si="1"/>
        <v>0.14472092947570525</v>
      </c>
      <c r="G14" s="84">
        <f t="shared" si="1"/>
        <v>0.16472250968333313</v>
      </c>
      <c r="H14" s="84">
        <f t="shared" si="1"/>
        <v>0.12912638276526645</v>
      </c>
      <c r="I14" s="84">
        <f t="shared" si="1"/>
        <v>4.0000000000000258E-2</v>
      </c>
      <c r="J14" s="84">
        <f t="shared" si="1"/>
        <v>4.0000000000000036E-2</v>
      </c>
      <c r="K14" s="84">
        <f t="shared" si="1"/>
        <v>3.9999999999999813E-2</v>
      </c>
    </row>
    <row r="15" spans="1:11" ht="15" customHeight="1" x14ac:dyDescent="0.2">
      <c r="A15" s="210" t="s">
        <v>581</v>
      </c>
      <c r="B15" s="235">
        <f t="shared" ref="B15:K15" si="2">B13/12</f>
        <v>637100</v>
      </c>
      <c r="C15" s="235">
        <f t="shared" si="2"/>
        <v>1043900</v>
      </c>
      <c r="D15" s="235">
        <f t="shared" si="2"/>
        <v>1487794.8800000001</v>
      </c>
      <c r="E15" s="235">
        <f t="shared" si="2"/>
        <v>1728184.8064000004</v>
      </c>
      <c r="F15" s="235">
        <f t="shared" si="2"/>
        <v>1978289.317888</v>
      </c>
      <c r="G15" s="235">
        <f t="shared" si="2"/>
        <v>2304158.0992102404</v>
      </c>
      <c r="H15" s="235">
        <f t="shared" si="2"/>
        <v>2601685.6998805511</v>
      </c>
      <c r="I15" s="235">
        <f t="shared" si="2"/>
        <v>2705753.1278757737</v>
      </c>
      <c r="J15" s="235">
        <f t="shared" si="2"/>
        <v>2813983.2529908046</v>
      </c>
      <c r="K15" s="235">
        <f t="shared" si="2"/>
        <v>2926542.5831104363</v>
      </c>
    </row>
    <row r="17" spans="1:11" ht="15" customHeight="1" x14ac:dyDescent="0.2">
      <c r="A17" s="81" t="s">
        <v>582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</row>
    <row r="18" spans="1:11" ht="15" customHeight="1" x14ac:dyDescent="0.2">
      <c r="A18" s="197"/>
      <c r="B18" s="198"/>
      <c r="C18" s="198"/>
      <c r="D18" s="198"/>
      <c r="E18" s="198"/>
      <c r="F18" s="198"/>
      <c r="G18" s="198"/>
      <c r="H18" s="198"/>
      <c r="I18" s="198"/>
      <c r="J18" s="198"/>
      <c r="K18" s="198"/>
    </row>
    <row r="19" spans="1:11" ht="15" customHeight="1" x14ac:dyDescent="0.2">
      <c r="A19" s="197"/>
      <c r="B19" s="199"/>
      <c r="C19" s="199"/>
      <c r="D19" s="199"/>
      <c r="E19" s="199"/>
      <c r="F19" s="199"/>
      <c r="G19" s="199"/>
      <c r="H19" s="199"/>
      <c r="I19" s="199"/>
      <c r="J19" s="199"/>
      <c r="K19" s="199"/>
    </row>
    <row r="20" spans="1:11" ht="15" customHeight="1" x14ac:dyDescent="0.2">
      <c r="A20" s="197"/>
      <c r="B20" s="199"/>
      <c r="C20" s="199"/>
      <c r="D20" s="199"/>
      <c r="E20" s="199"/>
      <c r="F20" s="199"/>
      <c r="G20" s="199"/>
      <c r="H20" s="199"/>
      <c r="I20" s="199"/>
      <c r="J20" s="199"/>
      <c r="K20" s="199"/>
    </row>
    <row r="21" spans="1:11" ht="15" customHeight="1" x14ac:dyDescent="0.2">
      <c r="A21" s="197"/>
      <c r="B21" s="199"/>
      <c r="C21" s="199"/>
      <c r="D21" s="199"/>
      <c r="E21" s="199"/>
      <c r="F21" s="199"/>
      <c r="G21" s="199"/>
      <c r="H21" s="199"/>
      <c r="I21" s="199"/>
      <c r="J21" s="199"/>
      <c r="K21" s="199"/>
    </row>
    <row r="22" spans="1:11" ht="15" customHeight="1" x14ac:dyDescent="0.2">
      <c r="A22" s="197"/>
      <c r="B22" s="203"/>
      <c r="C22" s="203"/>
      <c r="D22" s="203"/>
      <c r="E22" s="203"/>
      <c r="F22" s="203"/>
      <c r="G22" s="203"/>
      <c r="H22" s="203"/>
      <c r="I22" s="203"/>
      <c r="J22" s="203"/>
      <c r="K22" s="203"/>
    </row>
    <row r="23" spans="1:11" ht="15" customHeight="1" x14ac:dyDescent="0.2">
      <c r="A23" s="197"/>
      <c r="B23" s="203"/>
      <c r="C23" s="203"/>
      <c r="D23" s="203"/>
      <c r="E23" s="203"/>
      <c r="F23" s="203"/>
      <c r="G23" s="203"/>
      <c r="H23" s="203"/>
      <c r="I23" s="203"/>
      <c r="J23" s="203"/>
      <c r="K23" s="203"/>
    </row>
    <row r="24" spans="1:11" ht="15" customHeight="1" x14ac:dyDescent="0.2">
      <c r="A24" s="197"/>
      <c r="B24" s="202"/>
      <c r="C24" s="202"/>
      <c r="D24" s="202"/>
      <c r="E24" s="202"/>
      <c r="F24" s="202"/>
      <c r="G24" s="202"/>
      <c r="H24" s="202"/>
      <c r="I24" s="202"/>
      <c r="J24" s="202"/>
      <c r="K24" s="202"/>
    </row>
    <row r="25" spans="1:11" ht="15" customHeight="1" x14ac:dyDescent="0.2">
      <c r="A25" s="197"/>
      <c r="B25" s="202"/>
      <c r="C25" s="202"/>
      <c r="D25" s="202"/>
      <c r="E25" s="202"/>
      <c r="F25" s="202"/>
      <c r="G25" s="202"/>
      <c r="H25" s="202"/>
      <c r="I25" s="202"/>
      <c r="J25" s="202"/>
      <c r="K25" s="202"/>
    </row>
    <row r="26" spans="1:11" ht="15" customHeight="1" x14ac:dyDescent="0.2">
      <c r="A26" s="197"/>
      <c r="B26" s="201"/>
      <c r="C26" s="201"/>
      <c r="D26" s="201"/>
      <c r="E26" s="201"/>
      <c r="F26" s="201"/>
      <c r="G26" s="201"/>
      <c r="H26" s="201"/>
      <c r="I26" s="201"/>
      <c r="J26" s="201"/>
      <c r="K26" s="201"/>
    </row>
    <row r="27" spans="1:11" ht="15" customHeight="1" x14ac:dyDescent="0.2">
      <c r="A27" s="197"/>
      <c r="B27" s="192"/>
      <c r="C27" s="192"/>
      <c r="D27" s="192"/>
      <c r="E27" s="192"/>
      <c r="F27" s="192"/>
      <c r="G27" s="192"/>
      <c r="H27" s="192"/>
      <c r="I27" s="192"/>
      <c r="J27" s="192"/>
      <c r="K27" s="192"/>
    </row>
    <row r="28" spans="1:11" ht="15" customHeight="1" x14ac:dyDescent="0.2">
      <c r="A28" s="197"/>
      <c r="B28" s="201"/>
      <c r="C28" s="201"/>
      <c r="D28" s="201"/>
      <c r="E28" s="201"/>
      <c r="F28" s="201"/>
      <c r="G28" s="201"/>
      <c r="H28" s="201"/>
      <c r="I28" s="201"/>
      <c r="J28" s="201"/>
      <c r="K28" s="201"/>
    </row>
    <row r="29" spans="1:11" ht="15" customHeight="1" x14ac:dyDescent="0.2">
      <c r="A29" s="197"/>
      <c r="B29" s="192"/>
      <c r="C29" s="192"/>
      <c r="D29" s="192"/>
      <c r="E29" s="192"/>
      <c r="F29" s="192"/>
      <c r="G29" s="192"/>
      <c r="H29" s="192"/>
      <c r="I29" s="192"/>
      <c r="J29" s="192"/>
      <c r="K29" s="192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L72"/>
  <sheetViews>
    <sheetView topLeftCell="A42" zoomScale="140" zoomScaleNormal="100" workbookViewId="0">
      <selection activeCell="A61" sqref="A61:XFD62"/>
    </sheetView>
  </sheetViews>
  <sheetFormatPr baseColWidth="10" defaultColWidth="8.6640625" defaultRowHeight="15" x14ac:dyDescent="0.2"/>
  <cols>
    <col min="1" max="1" width="38" customWidth="1"/>
    <col min="2" max="11" width="14" customWidth="1"/>
  </cols>
  <sheetData>
    <row r="1" spans="1:11" ht="27.75" customHeight="1" x14ac:dyDescent="0.2">
      <c r="A1" s="238" t="s">
        <v>583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</row>
    <row r="2" spans="1:11" ht="15" customHeight="1" x14ac:dyDescent="0.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</row>
    <row r="3" spans="1:11" ht="21.75" customHeight="1" x14ac:dyDescent="0.2">
      <c r="A3" s="243" t="s">
        <v>8</v>
      </c>
      <c r="B3" s="242" t="s">
        <v>566</v>
      </c>
      <c r="C3" s="242" t="s">
        <v>567</v>
      </c>
      <c r="D3" s="242" t="s">
        <v>568</v>
      </c>
      <c r="E3" s="242" t="s">
        <v>569</v>
      </c>
      <c r="F3" s="242" t="s">
        <v>570</v>
      </c>
      <c r="G3" s="242" t="s">
        <v>571</v>
      </c>
      <c r="H3" s="242" t="s">
        <v>572</v>
      </c>
      <c r="I3" s="242" t="s">
        <v>573</v>
      </c>
      <c r="J3" s="242" t="s">
        <v>574</v>
      </c>
      <c r="K3" s="242" t="s">
        <v>575</v>
      </c>
    </row>
    <row r="4" spans="1:11" ht="15" customHeight="1" x14ac:dyDescent="0.2">
      <c r="A4" s="222" t="s">
        <v>584</v>
      </c>
      <c r="B4" s="245">
        <f>Revenue!B6</f>
        <v>1</v>
      </c>
      <c r="C4" s="245">
        <f>Revenue!C6</f>
        <v>1</v>
      </c>
      <c r="D4" s="245">
        <f>Revenue!D6</f>
        <v>1</v>
      </c>
      <c r="E4" s="245">
        <f>Revenue!E6</f>
        <v>1</v>
      </c>
      <c r="F4" s="245">
        <f>Revenue!F6</f>
        <v>1</v>
      </c>
      <c r="G4" s="245">
        <f>Revenue!G6</f>
        <v>1</v>
      </c>
      <c r="H4" s="245">
        <f>Revenue!H6</f>
        <v>1</v>
      </c>
      <c r="I4" s="245">
        <f>Revenue!I6</f>
        <v>1</v>
      </c>
      <c r="J4" s="245">
        <f>Revenue!J6</f>
        <v>1</v>
      </c>
      <c r="K4" s="245">
        <f>Revenue!K6</f>
        <v>1</v>
      </c>
    </row>
    <row r="5" spans="1:11" ht="15" customHeight="1" x14ac:dyDescent="0.2">
      <c r="A5" s="189"/>
      <c r="B5" s="191"/>
      <c r="C5" s="191"/>
      <c r="D5" s="191"/>
      <c r="E5" s="191"/>
      <c r="F5" s="191"/>
      <c r="G5" s="191"/>
      <c r="H5" s="191"/>
      <c r="I5" s="191"/>
      <c r="J5" s="191"/>
      <c r="K5" s="191"/>
    </row>
    <row r="6" spans="1:11" ht="15" customHeight="1" x14ac:dyDescent="0.2">
      <c r="A6" s="243" t="s">
        <v>175</v>
      </c>
      <c r="B6" s="191"/>
      <c r="C6" s="191"/>
      <c r="D6" s="191"/>
      <c r="E6" s="191"/>
      <c r="F6" s="191"/>
      <c r="G6" s="191"/>
      <c r="H6" s="191"/>
      <c r="I6" s="191"/>
      <c r="J6" s="191"/>
      <c r="K6" s="191"/>
    </row>
    <row r="7" spans="1:11" ht="15" customHeight="1" x14ac:dyDescent="0.2">
      <c r="A7" s="222" t="s">
        <v>585</v>
      </c>
      <c r="B7" s="239">
        <f>'Patient Acquisition'!B55</f>
        <v>7251.2943089430892</v>
      </c>
      <c r="C7" s="239">
        <f>'Patient Acquisition'!C55</f>
        <v>11494.409756097559</v>
      </c>
      <c r="D7" s="239">
        <f>'Patient Acquisition'!D55</f>
        <v>15737.525203252029</v>
      </c>
      <c r="E7" s="239">
        <f>'Patient Acquisition'!E55</f>
        <v>17542.432520325201</v>
      </c>
      <c r="F7" s="239">
        <f>'Patient Acquisition'!F55</f>
        <v>19347.339837398369</v>
      </c>
      <c r="G7" s="239">
        <f>'Patient Acquisition'!G55</f>
        <v>21785.54796747967</v>
      </c>
      <c r="H7" s="239">
        <f>'Patient Acquisition'!H55</f>
        <v>24192.091056910565</v>
      </c>
      <c r="I7" s="239">
        <f>'Patient Acquisition'!I55</f>
        <v>24192.091056910558</v>
      </c>
      <c r="J7" s="239">
        <f>'Patient Acquisition'!J55</f>
        <v>24192.091056910565</v>
      </c>
      <c r="K7" s="239">
        <f>'Patient Acquisition'!K55</f>
        <v>24192.091056910565</v>
      </c>
    </row>
    <row r="8" spans="1:11" ht="15" customHeight="1" x14ac:dyDescent="0.2">
      <c r="A8" s="43" t="s">
        <v>586</v>
      </c>
      <c r="B8" s="45">
        <f>IF(Assumptions!C186&gt;0,B7/(Assumptions!C186/Assumptions!$D$19),0)</f>
        <v>0.51647395362842519</v>
      </c>
      <c r="C8" s="45">
        <f>IF(Assumptions!D186&gt;0,C7/(Assumptions!D186/Assumptions!$D$19),0)</f>
        <v>0.81869015356820218</v>
      </c>
      <c r="D8" s="45">
        <f>IF(Assumptions!E186&gt;0,D7/(Assumptions!E186/Assumptions!$D$19),0)</f>
        <v>0.84067976513098452</v>
      </c>
      <c r="E8" s="45">
        <f>IF(Assumptions!F186&gt;0,E7/(Assumptions!F186/Assumptions!$D$19),0)</f>
        <v>0.86501146549927022</v>
      </c>
      <c r="F8" s="45">
        <f>IF(Assumptions!G186&gt;0,F7/(Assumptions!G186/Assumptions!$D$19),0)</f>
        <v>0.8268093947606141</v>
      </c>
      <c r="G8" s="45">
        <f>IF(Assumptions!H186&gt;0,G7/(Assumptions!H186/Assumptions!$D$19),0)</f>
        <v>0.82147616770285325</v>
      </c>
      <c r="H8" s="45">
        <f>IF(Assumptions!I186&gt;0,H7/(Assumptions!I186/Assumptions!$D$19),0)</f>
        <v>0.8615417043059318</v>
      </c>
      <c r="I8" s="45">
        <f>IF(Assumptions!J186&gt;0,I7/(Assumptions!J186/Assumptions!$D$19),0)</f>
        <v>0.86154170430593158</v>
      </c>
      <c r="J8" s="45">
        <f>IF(Assumptions!K186&gt;0,J7/(Assumptions!K186/Assumptions!$D$19),0)</f>
        <v>0.8615417043059318</v>
      </c>
      <c r="K8" s="45">
        <f>IF(Assumptions!L186&gt;0,K7/(Assumptions!L186/Assumptions!$D$19),0)</f>
        <v>0.81619740407930386</v>
      </c>
    </row>
    <row r="9" spans="1:11" ht="15" customHeight="1" x14ac:dyDescent="0.2">
      <c r="A9" s="47" t="s">
        <v>587</v>
      </c>
      <c r="B9" s="49">
        <f>IF(Assumptions!$D$40&gt;0,B7/Assumptions!$D$40,0)</f>
        <v>0.26065040650406501</v>
      </c>
      <c r="C9" s="49">
        <f>IF(Assumptions!$D$40&gt;0,C7/Assumptions!$D$40,0)</f>
        <v>0.413170731707317</v>
      </c>
      <c r="D9" s="49">
        <f>IF(Assumptions!$D$40&gt;0,D7/Assumptions!$D$40,0)</f>
        <v>0.56569105691056898</v>
      </c>
      <c r="E9" s="49">
        <f>IF(Assumptions!$D$40&gt;0,E7/Assumptions!$D$40,0)</f>
        <v>0.63056910569105684</v>
      </c>
      <c r="F9" s="49">
        <f>IF(Assumptions!$D$40&gt;0,F7/Assumptions!$D$40,0)</f>
        <v>0.69544715447154459</v>
      </c>
      <c r="G9" s="49">
        <f>IF(Assumptions!$D$40&gt;0,G7/Assumptions!$D$40,0)</f>
        <v>0.78308943089430871</v>
      </c>
      <c r="H9" s="49">
        <f>IF(Assumptions!$D$40&gt;0,H7/Assumptions!$D$40,0)</f>
        <v>0.86959349593495927</v>
      </c>
      <c r="I9" s="49">
        <f>IF(Assumptions!$D$40&gt;0,I7/Assumptions!$D$40,0)</f>
        <v>0.86959349593495894</v>
      </c>
      <c r="J9" s="49">
        <f>IF(Assumptions!$D$40&gt;0,J7/Assumptions!$D$40,0)</f>
        <v>0.86959349593495927</v>
      </c>
      <c r="K9" s="49">
        <f>IF(Assumptions!$D$40&gt;0,K7/Assumptions!$D$40,0)</f>
        <v>0.86959349593495927</v>
      </c>
    </row>
    <row r="10" spans="1:11" ht="15" customHeight="1" x14ac:dyDescent="0.2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</row>
    <row r="11" spans="1:11" ht="15" customHeight="1" x14ac:dyDescent="0.2">
      <c r="A11" s="243" t="s">
        <v>453</v>
      </c>
      <c r="B11" s="191"/>
      <c r="C11" s="191"/>
      <c r="D11" s="191"/>
      <c r="E11" s="191"/>
      <c r="F11" s="191"/>
      <c r="G11" s="191"/>
      <c r="H11" s="191"/>
      <c r="I11" s="191"/>
      <c r="J11" s="191"/>
      <c r="K11" s="191"/>
    </row>
    <row r="12" spans="1:11" ht="15" customHeight="1" x14ac:dyDescent="0.2">
      <c r="A12" s="222" t="s">
        <v>585</v>
      </c>
      <c r="B12" s="239">
        <f>'Patient Acquisition'!B61</f>
        <v>1553.8487804878048</v>
      </c>
      <c r="C12" s="239">
        <f>'Patient Acquisition'!C61</f>
        <v>2463.0878048780482</v>
      </c>
      <c r="D12" s="239">
        <f>'Patient Acquisition'!D61</f>
        <v>3372.3268292682919</v>
      </c>
      <c r="E12" s="239">
        <f>'Patient Acquisition'!E61</f>
        <v>3759.0926829268283</v>
      </c>
      <c r="F12" s="239">
        <f>'Patient Acquisition'!F61</f>
        <v>4145.8585365853651</v>
      </c>
      <c r="G12" s="239">
        <f>'Patient Acquisition'!G61</f>
        <v>4668.331707317072</v>
      </c>
      <c r="H12" s="239">
        <f>'Patient Acquisition'!H61</f>
        <v>5007.6000000000004</v>
      </c>
      <c r="I12" s="239">
        <f>'Patient Acquisition'!I61</f>
        <v>5007.6000000000004</v>
      </c>
      <c r="J12" s="239">
        <f>'Patient Acquisition'!J61</f>
        <v>5007.6000000000004</v>
      </c>
      <c r="K12" s="239">
        <f>'Patient Acquisition'!K61</f>
        <v>5007.6000000000004</v>
      </c>
    </row>
    <row r="13" spans="1:11" ht="15" customHeight="1" x14ac:dyDescent="0.2">
      <c r="A13" s="43" t="s">
        <v>586</v>
      </c>
      <c r="B13" s="45">
        <f>IF(Assumptions!C187&gt;0,B12/(Assumptions!C187/Assumptions!$D$19),0)</f>
        <v>0.49802845528455281</v>
      </c>
      <c r="C13" s="45">
        <f>IF(Assumptions!D187&gt;0,C12/(Assumptions!D187/Assumptions!$D$19),0)</f>
        <v>0.78945121951219499</v>
      </c>
      <c r="D13" s="45">
        <f>IF(Assumptions!E187&gt;0,D12/(Assumptions!E187/Assumptions!$D$19),0)</f>
        <v>0.81065548780487784</v>
      </c>
      <c r="E13" s="45">
        <f>IF(Assumptions!F187&gt;0,E12/(Assumptions!F187/Assumptions!$D$19),0)</f>
        <v>0.72290243902439</v>
      </c>
      <c r="F13" s="45">
        <f>IF(Assumptions!G187&gt;0,F12/(Assumptions!G187/Assumptions!$D$19),0)</f>
        <v>0.79728048780487792</v>
      </c>
      <c r="G13" s="45">
        <f>IF(Assumptions!H187&gt;0,G12/(Assumptions!H187/Assumptions!$D$19),0)</f>
        <v>0.74813008130081282</v>
      </c>
      <c r="H13" s="45">
        <f>IF(Assumptions!I187&gt;0,H12/(Assumptions!I187/Assumptions!$D$19),0)</f>
        <v>0.8025000000000001</v>
      </c>
      <c r="I13" s="45">
        <f>IF(Assumptions!J187&gt;0,I12/(Assumptions!J187/Assumptions!$D$19),0)</f>
        <v>0.8025000000000001</v>
      </c>
      <c r="J13" s="45">
        <f>IF(Assumptions!K187&gt;0,J12/(Assumptions!K187/Assumptions!$D$19),0)</f>
        <v>0.8025000000000001</v>
      </c>
      <c r="K13" s="45">
        <f>IF(Assumptions!L187&gt;0,K12/(Assumptions!L187/Assumptions!$D$19),0)</f>
        <v>0.8025000000000001</v>
      </c>
    </row>
    <row r="14" spans="1:11" ht="15" customHeight="1" x14ac:dyDescent="0.2">
      <c r="A14" s="47" t="s">
        <v>587</v>
      </c>
      <c r="B14" s="49">
        <f>IF(Assumptions!$D$41&gt;0,B12/Assumptions!$D$41,0)</f>
        <v>0.31029810298102978</v>
      </c>
      <c r="C14" s="49">
        <f>IF(Assumptions!$D$41&gt;0,C12/Assumptions!$D$41,0)</f>
        <v>0.49186991869918684</v>
      </c>
      <c r="D14" s="49">
        <f>IF(Assumptions!$D$41&gt;0,D12/Assumptions!$D$41,0)</f>
        <v>0.67344173441734401</v>
      </c>
      <c r="E14" s="49">
        <f>IF(Assumptions!$D$41&gt;0,E12/Assumptions!$D$41,0)</f>
        <v>0.7506775067750675</v>
      </c>
      <c r="F14" s="49">
        <f>IF(Assumptions!$D$41&gt;0,F12/Assumptions!$D$41,0)</f>
        <v>0.82791327913279111</v>
      </c>
      <c r="G14" s="49">
        <f>IF(Assumptions!$D$41&gt;0,G12/Assumptions!$D$41,0)</f>
        <v>0.93224932249322467</v>
      </c>
      <c r="H14" s="49">
        <f>IF(Assumptions!$D$41&gt;0,H12/Assumptions!$D$41,0)</f>
        <v>1</v>
      </c>
      <c r="I14" s="49">
        <f>IF(Assumptions!$D$41&gt;0,I12/Assumptions!$D$41,0)</f>
        <v>1</v>
      </c>
      <c r="J14" s="49">
        <f>IF(Assumptions!$D$41&gt;0,J12/Assumptions!$D$41,0)</f>
        <v>1</v>
      </c>
      <c r="K14" s="49">
        <f>IF(Assumptions!$D$41&gt;0,K12/Assumptions!$D$41,0)</f>
        <v>1</v>
      </c>
    </row>
    <row r="15" spans="1:11" ht="15" customHeight="1" x14ac:dyDescent="0.2">
      <c r="A15" s="189"/>
      <c r="B15" s="191"/>
      <c r="C15" s="191"/>
      <c r="D15" s="191"/>
      <c r="E15" s="191"/>
      <c r="F15" s="191"/>
      <c r="G15" s="191"/>
      <c r="H15" s="191"/>
      <c r="I15" s="191"/>
      <c r="J15" s="191"/>
      <c r="K15" s="191"/>
    </row>
    <row r="16" spans="1:11" ht="15" customHeight="1" x14ac:dyDescent="0.2">
      <c r="A16" s="243" t="s">
        <v>554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</row>
    <row r="17" spans="1:11" ht="15" customHeight="1" x14ac:dyDescent="0.2">
      <c r="A17" s="222" t="s">
        <v>585</v>
      </c>
      <c r="B17" s="239">
        <f>'Patient Acquisition'!B67</f>
        <v>517.94959349593489</v>
      </c>
      <c r="C17" s="239">
        <f>'Patient Acquisition'!C67</f>
        <v>821.02926829268279</v>
      </c>
      <c r="D17" s="239">
        <f>'Patient Acquisition'!D67</f>
        <v>1124.1089430894306</v>
      </c>
      <c r="E17" s="239">
        <f>'Patient Acquisition'!E67</f>
        <v>1253.0308943089428</v>
      </c>
      <c r="F17" s="239">
        <f>'Patient Acquisition'!F67</f>
        <v>1381.9528455284551</v>
      </c>
      <c r="G17" s="239">
        <f>'Patient Acquisition'!G67</f>
        <v>1556.1105691056907</v>
      </c>
      <c r="H17" s="239">
        <f>'Patient Acquisition'!H67</f>
        <v>1728.0065040650402</v>
      </c>
      <c r="I17" s="239">
        <f>'Patient Acquisition'!I67</f>
        <v>1728.00650406504</v>
      </c>
      <c r="J17" s="239">
        <f>'Patient Acquisition'!J67</f>
        <v>1728.0065040650402</v>
      </c>
      <c r="K17" s="239">
        <f>'Patient Acquisition'!K67</f>
        <v>1728.0065040650402</v>
      </c>
    </row>
    <row r="18" spans="1:11" ht="15" customHeight="1" x14ac:dyDescent="0.2">
      <c r="A18" s="43" t="s">
        <v>586</v>
      </c>
      <c r="B18" s="45">
        <f>IF(Assumptions!C189*Assumptions!$B$315&gt;0,B17/(Assumptions!C189*Assumptions!$B$315/Assumptions!$D$19),0)</f>
        <v>0.19921138211382111</v>
      </c>
      <c r="C18" s="45">
        <f>IF(Assumptions!D189*Assumptions!$B$315&gt;0,C17/(Assumptions!D189*Assumptions!$B$315/Assumptions!$D$19),0)</f>
        <v>0.315780487804878</v>
      </c>
      <c r="D18" s="45">
        <f>IF(Assumptions!E189*Assumptions!$B$315&gt;0,D17/(Assumptions!E189*Assumptions!$B$315/Assumptions!$D$19),0)</f>
        <v>0.43234959349593483</v>
      </c>
      <c r="E18" s="45">
        <f>IF(Assumptions!F189*Assumptions!$B$315&gt;0,E17/(Assumptions!F189*Assumptions!$B$315/Assumptions!$D$19),0)</f>
        <v>0.48193495934959341</v>
      </c>
      <c r="F18" s="45">
        <f>IF(Assumptions!G189*Assumptions!$B$315&gt;0,F17/(Assumptions!G189*Assumptions!$B$315/Assumptions!$D$19),0)</f>
        <v>0.53152032520325199</v>
      </c>
      <c r="G18" s="45">
        <f>IF(Assumptions!H189*Assumptions!$B$315&gt;0,G17/(Assumptions!H189*Assumptions!$B$315/Assumptions!$D$19),0)</f>
        <v>0.59850406504065023</v>
      </c>
      <c r="H18" s="45">
        <f>IF(Assumptions!I189*Assumptions!$B$315&gt;0,H17/(Assumptions!I189*Assumptions!$B$315/Assumptions!$D$19),0)</f>
        <v>0.66461788617886164</v>
      </c>
      <c r="I18" s="45">
        <f>IF(Assumptions!J189*Assumptions!$B$315&gt;0,I17/(Assumptions!J189*Assumptions!$B$315/Assumptions!$D$19),0)</f>
        <v>0.66461788617886153</v>
      </c>
      <c r="J18" s="45">
        <f>IF(Assumptions!K189*Assumptions!$B$315&gt;0,J17/(Assumptions!K189*Assumptions!$B$315/Assumptions!$D$19),0)</f>
        <v>0.66461788617886164</v>
      </c>
      <c r="K18" s="45">
        <f>IF(Assumptions!L189*Assumptions!$B$315&gt;0,K17/(Assumptions!L189*Assumptions!$B$315/Assumptions!$D$19),0)</f>
        <v>0.66461788617886164</v>
      </c>
    </row>
    <row r="19" spans="1:11" ht="15" customHeight="1" x14ac:dyDescent="0.2">
      <c r="A19" s="47" t="s">
        <v>587</v>
      </c>
      <c r="B19" s="49">
        <f>IF(Assumptions!$D$43*Assumptions!$B$315&gt;0,B17/(Assumptions!$D$43*Assumptions!$B$315),0)</f>
        <v>0.1432145090681676</v>
      </c>
      <c r="C19" s="49">
        <f>IF(Assumptions!$D$43*Assumptions!$B$315&gt;0,C17/(Assumptions!$D$43*Assumptions!$B$315),0)</f>
        <v>0.22701688555347088</v>
      </c>
      <c r="D19" s="49">
        <f>IF(Assumptions!$D$43*Assumptions!$B$315&gt;0,D17/(Assumptions!$D$43*Assumptions!$B$315),0)</f>
        <v>0.31081926203877414</v>
      </c>
      <c r="E19" s="49">
        <f>IF(Assumptions!$D$43*Assumptions!$B$315&gt;0,E17/(Assumptions!$D$43*Assumptions!$B$315),0)</f>
        <v>0.34646654158849277</v>
      </c>
      <c r="F19" s="49">
        <f>IF(Assumptions!$D$43*Assumptions!$B$315&gt;0,F17/(Assumptions!$D$43*Assumptions!$B$315),0)</f>
        <v>0.38211382113821135</v>
      </c>
      <c r="G19" s="49">
        <f>IF(Assumptions!$D$43*Assumptions!$B$315&gt;0,G17/(Assumptions!$D$43*Assumptions!$B$315),0)</f>
        <v>0.43026891807379603</v>
      </c>
      <c r="H19" s="49">
        <f>IF(Assumptions!$D$43*Assumptions!$B$315&gt;0,H17/(Assumptions!$D$43*Assumptions!$B$315),0)</f>
        <v>0.47779862414008745</v>
      </c>
      <c r="I19" s="49">
        <f>IF(Assumptions!$D$43*Assumptions!$B$315&gt;0,I17/(Assumptions!$D$43*Assumptions!$B$315),0)</f>
        <v>0.47779862414008739</v>
      </c>
      <c r="J19" s="49">
        <f>IF(Assumptions!$D$43*Assumptions!$B$315&gt;0,J17/(Assumptions!$D$43*Assumptions!$B$315),0)</f>
        <v>0.47779862414008745</v>
      </c>
      <c r="K19" s="49">
        <f>IF(Assumptions!$D$43*Assumptions!$B$315&gt;0,K17/(Assumptions!$D$43*Assumptions!$B$315),0)</f>
        <v>0.47779862414008745</v>
      </c>
    </row>
    <row r="20" spans="1:11" ht="15" customHeight="1" x14ac:dyDescent="0.2">
      <c r="A20" s="344"/>
      <c r="B20" s="345"/>
      <c r="C20" s="345"/>
      <c r="D20" s="345"/>
      <c r="E20" s="345"/>
      <c r="F20" s="345"/>
      <c r="G20" s="345"/>
      <c r="H20" s="345"/>
      <c r="I20" s="345"/>
      <c r="J20" s="345"/>
      <c r="K20" s="345"/>
    </row>
    <row r="21" spans="1:11" ht="15" customHeight="1" x14ac:dyDescent="0.2">
      <c r="A21" s="346" t="s">
        <v>555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</row>
    <row r="22" spans="1:11" ht="15" customHeight="1" x14ac:dyDescent="0.2">
      <c r="A22" s="348" t="s">
        <v>585</v>
      </c>
      <c r="B22" s="349">
        <f>'Patient Acquisition'!B73</f>
        <v>517.94959349593489</v>
      </c>
      <c r="C22" s="349">
        <f>'Patient Acquisition'!C73</f>
        <v>821.02926829268279</v>
      </c>
      <c r="D22" s="349">
        <f>'Patient Acquisition'!D73</f>
        <v>1124.1089430894306</v>
      </c>
      <c r="E22" s="349">
        <f>'Patient Acquisition'!E73</f>
        <v>1253.0308943089428</v>
      </c>
      <c r="F22" s="349">
        <f>'Patient Acquisition'!F73</f>
        <v>1381.9528455284551</v>
      </c>
      <c r="G22" s="349">
        <f>'Patient Acquisition'!G73</f>
        <v>1556.1105691056907</v>
      </c>
      <c r="H22" s="349">
        <f>'Patient Acquisition'!H73</f>
        <v>1728.0065040650402</v>
      </c>
      <c r="I22" s="349">
        <f>'Patient Acquisition'!I73</f>
        <v>1728.00650406504</v>
      </c>
      <c r="J22" s="349">
        <f>'Patient Acquisition'!J73</f>
        <v>1728.0065040650402</v>
      </c>
      <c r="K22" s="349">
        <f>'Patient Acquisition'!K73</f>
        <v>1728.0065040650402</v>
      </c>
    </row>
    <row r="23" spans="1:11" ht="15" customHeight="1" x14ac:dyDescent="0.2">
      <c r="A23" s="348" t="s">
        <v>586</v>
      </c>
      <c r="B23" s="347">
        <f>IF(Assumptions!C189*Assumptions!$B$316&gt;0,B22/(Assumptions!C189*Assumptions!$B$316/Assumptions!$D$19),0)</f>
        <v>0.19921138211382111</v>
      </c>
      <c r="C23" s="347">
        <f>IF(Assumptions!D189*Assumptions!$B$316&gt;0,C22/(Assumptions!D189*Assumptions!$B$316/Assumptions!$D$19),0)</f>
        <v>0.315780487804878</v>
      </c>
      <c r="D23" s="347">
        <f>IF(Assumptions!E189*Assumptions!$B$316&gt;0,D22/(Assumptions!E189*Assumptions!$B$316/Assumptions!$D$19),0)</f>
        <v>0.43234959349593483</v>
      </c>
      <c r="E23" s="347">
        <f>IF(Assumptions!F189*Assumptions!$B$316&gt;0,E22/(Assumptions!F189*Assumptions!$B$316/Assumptions!$D$19),0)</f>
        <v>0.48193495934959341</v>
      </c>
      <c r="F23" s="347">
        <f>IF(Assumptions!G189*Assumptions!$B$316&gt;0,F22/(Assumptions!G189*Assumptions!$B$316/Assumptions!$D$19),0)</f>
        <v>0.53152032520325199</v>
      </c>
      <c r="G23" s="347">
        <f>IF(Assumptions!H189*Assumptions!$B$316&gt;0,G22/(Assumptions!H189*Assumptions!$B$316/Assumptions!$D$19),0)</f>
        <v>0.59850406504065023</v>
      </c>
      <c r="H23" s="347">
        <f>IF(Assumptions!I189*Assumptions!$B$316&gt;0,H22/(Assumptions!I189*Assumptions!$B$316/Assumptions!$D$19),0)</f>
        <v>0.66461788617886164</v>
      </c>
      <c r="I23" s="347">
        <f>IF(Assumptions!J189*Assumptions!$B$316&gt;0,I22/(Assumptions!J189*Assumptions!$B$316/Assumptions!$D$19),0)</f>
        <v>0.66461788617886153</v>
      </c>
      <c r="J23" s="347">
        <f>IF(Assumptions!K189*Assumptions!$B$316&gt;0,J22/(Assumptions!K189*Assumptions!$B$316/Assumptions!$D$19),0)</f>
        <v>0.66461788617886164</v>
      </c>
      <c r="K23" s="347">
        <f>IF(Assumptions!L189*Assumptions!$B$316&gt;0,K22/(Assumptions!L189*Assumptions!$B$316/Assumptions!$D$19),0)</f>
        <v>0.66461788617886164</v>
      </c>
    </row>
    <row r="24" spans="1:11" ht="15" customHeight="1" x14ac:dyDescent="0.2">
      <c r="A24" s="350" t="s">
        <v>587</v>
      </c>
      <c r="B24" s="351">
        <f>IF(Assumptions!$D$43*Assumptions!$B$316&gt;0,B22/(Assumptions!$D$43*Assumptions!$B$316),0)</f>
        <v>0.1432145090681676</v>
      </c>
      <c r="C24" s="351">
        <f>IF(Assumptions!$D$43*Assumptions!$B$316&gt;0,C22/(Assumptions!$D$43*Assumptions!$B$316),0)</f>
        <v>0.22701688555347088</v>
      </c>
      <c r="D24" s="351">
        <f>IF(Assumptions!$D$43*Assumptions!$B$316&gt;0,D22/(Assumptions!$D$43*Assumptions!$B$316),0)</f>
        <v>0.31081926203877414</v>
      </c>
      <c r="E24" s="351">
        <f>IF(Assumptions!$D$43*Assumptions!$B$316&gt;0,E22/(Assumptions!$D$43*Assumptions!$B$316),0)</f>
        <v>0.34646654158849277</v>
      </c>
      <c r="F24" s="351">
        <f>IF(Assumptions!$D$43*Assumptions!$B$316&gt;0,F22/(Assumptions!$D$43*Assumptions!$B$316),0)</f>
        <v>0.38211382113821135</v>
      </c>
      <c r="G24" s="351">
        <f>IF(Assumptions!$D$43*Assumptions!$B$316&gt;0,G22/(Assumptions!$D$43*Assumptions!$B$316),0)</f>
        <v>0.43026891807379603</v>
      </c>
      <c r="H24" s="351">
        <f>IF(Assumptions!$D$43*Assumptions!$B$316&gt;0,H22/(Assumptions!$D$43*Assumptions!$B$316),0)</f>
        <v>0.47779862414008745</v>
      </c>
      <c r="I24" s="351">
        <f>IF(Assumptions!$D$43*Assumptions!$B$316&gt;0,I22/(Assumptions!$D$43*Assumptions!$B$316),0)</f>
        <v>0.47779862414008739</v>
      </c>
      <c r="J24" s="351">
        <f>IF(Assumptions!$D$43*Assumptions!$B$316&gt;0,J22/(Assumptions!$D$43*Assumptions!$B$316),0)</f>
        <v>0.47779862414008745</v>
      </c>
      <c r="K24" s="351">
        <f>IF(Assumptions!$D$43*Assumptions!$B$316&gt;0,K22/(Assumptions!$D$43*Assumptions!$B$316),0)</f>
        <v>0.47779862414008745</v>
      </c>
    </row>
    <row r="25" spans="1:11" ht="15" customHeight="1" x14ac:dyDescent="0.2">
      <c r="A25" s="243" t="s">
        <v>149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</row>
    <row r="26" spans="1:11" ht="15" customHeight="1" x14ac:dyDescent="0.2">
      <c r="A26" s="222" t="s">
        <v>585</v>
      </c>
      <c r="B26" s="239">
        <f>'Patient Acquisition'!B79</f>
        <v>2900.5177235772358</v>
      </c>
      <c r="C26" s="239">
        <f>'Patient Acquisition'!C79</f>
        <v>4597.7639024390237</v>
      </c>
      <c r="D26" s="239">
        <f>'Patient Acquisition'!D79</f>
        <v>6295.0100813008121</v>
      </c>
      <c r="E26" s="239">
        <f>'Patient Acquisition'!E79</f>
        <v>7016.9730081300804</v>
      </c>
      <c r="F26" s="239">
        <f>'Patient Acquisition'!F79</f>
        <v>7738.9359349593487</v>
      </c>
      <c r="G26" s="239">
        <f>'Patient Acquisition'!G79</f>
        <v>8346</v>
      </c>
      <c r="H26" s="239">
        <f>'Patient Acquisition'!H79</f>
        <v>8346</v>
      </c>
      <c r="I26" s="239">
        <f>'Patient Acquisition'!I79</f>
        <v>8346</v>
      </c>
      <c r="J26" s="239">
        <f>'Patient Acquisition'!J79</f>
        <v>8346</v>
      </c>
      <c r="K26" s="239">
        <f>'Patient Acquisition'!K79</f>
        <v>8346</v>
      </c>
    </row>
    <row r="27" spans="1:11" ht="15" customHeight="1" x14ac:dyDescent="0.2">
      <c r="A27" s="43" t="s">
        <v>586</v>
      </c>
      <c r="B27" s="45">
        <f>IF(Assumptions!C188&gt;0,B26/(Assumptions!C188/Assumptions!$D$19),0)</f>
        <v>0.61976874435411022</v>
      </c>
      <c r="C27" s="45">
        <f>IF(Assumptions!D188&gt;0,C26/(Assumptions!D188/Assumptions!$D$19),0)</f>
        <v>0.73682113821138195</v>
      </c>
      <c r="D27" s="45">
        <f>IF(Assumptions!E188&gt;0,D26/(Assumptions!E188/Assumptions!$D$19),0)</f>
        <v>0.80705257452574519</v>
      </c>
      <c r="E27" s="45">
        <f>IF(Assumptions!F188&gt;0,E26/(Assumptions!F188/Assumptions!$D$19),0)</f>
        <v>0.74967660343270093</v>
      </c>
      <c r="F27" s="45">
        <f>IF(Assumptions!G188&gt;0,F26/(Assumptions!G188/Assumptions!$D$19),0)</f>
        <v>0.82680939476061421</v>
      </c>
      <c r="G27" s="45">
        <f>IF(Assumptions!H188&gt;0,G26/(Assumptions!H188/Assumptions!$D$19),0)</f>
        <v>0.76428571428571423</v>
      </c>
      <c r="H27" s="45">
        <f>IF(Assumptions!I188&gt;0,H26/(Assumptions!I188/Assumptions!$D$19),0)</f>
        <v>0.76428571428571423</v>
      </c>
      <c r="I27" s="45">
        <f>IF(Assumptions!J188&gt;0,I26/(Assumptions!J188/Assumptions!$D$19),0)</f>
        <v>0.76428571428571423</v>
      </c>
      <c r="J27" s="45">
        <f>IF(Assumptions!K188&gt;0,J26/(Assumptions!K188/Assumptions!$D$19),0)</f>
        <v>0.76428571428571423</v>
      </c>
      <c r="K27" s="45">
        <f>IF(Assumptions!L188&gt;0,K26/(Assumptions!L188/Assumptions!$D$19),0)</f>
        <v>0.76428571428571423</v>
      </c>
    </row>
    <row r="28" spans="1:11" ht="15" customHeight="1" x14ac:dyDescent="0.2">
      <c r="A28" s="47" t="s">
        <v>587</v>
      </c>
      <c r="B28" s="49">
        <f>IF(Assumptions!$D$42&gt;0,B26/Assumptions!$D$42,0)</f>
        <v>0.34753387533875341</v>
      </c>
      <c r="C28" s="49">
        <f>IF(Assumptions!$D$42&gt;0,C26/Assumptions!$D$42,0)</f>
        <v>0.55089430894308933</v>
      </c>
      <c r="D28" s="49">
        <f>IF(Assumptions!$D$42&gt;0,D26/Assumptions!$D$42,0)</f>
        <v>0.75425474254742542</v>
      </c>
      <c r="E28" s="49">
        <f>IF(Assumptions!$D$42&gt;0,E26/Assumptions!$D$42,0)</f>
        <v>0.84075880758807575</v>
      </c>
      <c r="F28" s="49">
        <f>IF(Assumptions!$D$42&gt;0,F26/Assumptions!$D$42,0)</f>
        <v>0.9272628726287262</v>
      </c>
      <c r="G28" s="49">
        <f>IF(Assumptions!$D$42&gt;0,G26/Assumptions!$D$42,0)</f>
        <v>1</v>
      </c>
      <c r="H28" s="49">
        <f>IF(Assumptions!$D$42&gt;0,H26/Assumptions!$D$42,0)</f>
        <v>1</v>
      </c>
      <c r="I28" s="49">
        <f>IF(Assumptions!$D$42&gt;0,I26/Assumptions!$D$42,0)</f>
        <v>1</v>
      </c>
      <c r="J28" s="49">
        <f>IF(Assumptions!$D$42&gt;0,J26/Assumptions!$D$42,0)</f>
        <v>1</v>
      </c>
      <c r="K28" s="49">
        <f>IF(Assumptions!$D$42&gt;0,K26/Assumptions!$D$42,0)</f>
        <v>1</v>
      </c>
    </row>
    <row r="29" spans="1:11" ht="15" customHeight="1" x14ac:dyDescent="0.2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</row>
    <row r="30" spans="1:11" ht="15" customHeight="1" x14ac:dyDescent="0.2">
      <c r="A30" s="243" t="s">
        <v>588</v>
      </c>
      <c r="B30" s="190"/>
      <c r="C30" s="190"/>
      <c r="D30" s="190"/>
      <c r="E30" s="190"/>
      <c r="F30" s="190"/>
      <c r="G30" s="190"/>
      <c r="H30" s="190"/>
      <c r="I30" s="190"/>
      <c r="J30" s="190"/>
      <c r="K30" s="190"/>
    </row>
    <row r="31" spans="1:11" ht="15" customHeight="1" x14ac:dyDescent="0.2">
      <c r="A31" s="222" t="s">
        <v>589</v>
      </c>
      <c r="B31" s="44">
        <f>Assumptions!$D$30</f>
        <v>6786</v>
      </c>
      <c r="C31" s="44">
        <f>Assumptions!$D$30</f>
        <v>6786</v>
      </c>
      <c r="D31" s="44">
        <f>Assumptions!$D$30</f>
        <v>6786</v>
      </c>
      <c r="E31" s="44">
        <f>Assumptions!$D$30</f>
        <v>6786</v>
      </c>
      <c r="F31" s="44">
        <f>Assumptions!$D$30</f>
        <v>6786</v>
      </c>
      <c r="G31" s="44">
        <f>Assumptions!$D$30</f>
        <v>6786</v>
      </c>
      <c r="H31" s="44">
        <f>Assumptions!$D$30</f>
        <v>6786</v>
      </c>
      <c r="I31" s="44">
        <f>Assumptions!$D$30</f>
        <v>6786</v>
      </c>
      <c r="J31" s="44">
        <f>Assumptions!$D$30</f>
        <v>6786</v>
      </c>
      <c r="K31" s="44">
        <f>Assumptions!$D$30</f>
        <v>6786</v>
      </c>
    </row>
    <row r="32" spans="1:11" ht="15" customHeight="1" x14ac:dyDescent="0.2">
      <c r="A32" s="222" t="s">
        <v>590</v>
      </c>
      <c r="B32" s="48">
        <f>Assumptions!$D$39</f>
        <v>7233.2</v>
      </c>
      <c r="C32" s="48">
        <f>Assumptions!$D$39</f>
        <v>7233.2</v>
      </c>
      <c r="D32" s="48">
        <f>Assumptions!$D$39</f>
        <v>7233.2</v>
      </c>
      <c r="E32" s="48">
        <f>Assumptions!$D$39</f>
        <v>7233.2</v>
      </c>
      <c r="F32" s="48">
        <f>Assumptions!$D$39</f>
        <v>7233.2</v>
      </c>
      <c r="G32" s="48">
        <f>Assumptions!$D$39</f>
        <v>7233.2</v>
      </c>
      <c r="H32" s="48">
        <f>Assumptions!$D$39</f>
        <v>7233.2</v>
      </c>
      <c r="I32" s="48">
        <f>Assumptions!$D$39</f>
        <v>7233.2</v>
      </c>
      <c r="J32" s="48">
        <f>Assumptions!$D$39</f>
        <v>7233.2</v>
      </c>
      <c r="K32" s="48">
        <f>Assumptions!$D$39</f>
        <v>7233.2</v>
      </c>
    </row>
    <row r="33" spans="1:11" ht="15" customHeight="1" x14ac:dyDescent="0.2">
      <c r="A33" s="197"/>
      <c r="B33" s="192"/>
      <c r="C33" s="192"/>
      <c r="D33" s="192"/>
      <c r="E33" s="192"/>
      <c r="F33" s="192"/>
      <c r="G33" s="192"/>
      <c r="H33" s="192"/>
      <c r="I33" s="192"/>
      <c r="J33" s="192"/>
      <c r="K33" s="192"/>
    </row>
    <row r="34" spans="1:11" ht="15" customHeight="1" x14ac:dyDescent="0.2">
      <c r="A34" s="238" t="s">
        <v>591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</row>
    <row r="35" spans="1:11" ht="15" customHeight="1" x14ac:dyDescent="0.2">
      <c r="A35" s="243" t="s">
        <v>8</v>
      </c>
      <c r="B35" s="255" t="s">
        <v>566</v>
      </c>
      <c r="C35" s="255" t="s">
        <v>567</v>
      </c>
      <c r="D35" s="255" t="s">
        <v>568</v>
      </c>
      <c r="E35" s="255" t="s">
        <v>569</v>
      </c>
      <c r="F35" s="255" t="s">
        <v>570</v>
      </c>
      <c r="G35" s="255" t="s">
        <v>571</v>
      </c>
      <c r="H35" s="255" t="s">
        <v>572</v>
      </c>
      <c r="I35" s="255" t="s">
        <v>573</v>
      </c>
      <c r="J35" s="255" t="s">
        <v>574</v>
      </c>
      <c r="K35" s="255" t="s">
        <v>575</v>
      </c>
    </row>
    <row r="36" spans="1:11" ht="15" customHeight="1" x14ac:dyDescent="0.2">
      <c r="A36" s="222" t="s">
        <v>592</v>
      </c>
      <c r="B36" s="239">
        <f>'Patient Acquisition'!B85</f>
        <v>12741.559999999998</v>
      </c>
      <c r="C36" s="239">
        <f>'Patient Acquisition'!C85</f>
        <v>20197.319999999996</v>
      </c>
      <c r="D36" s="239">
        <f>'Patient Acquisition'!D85</f>
        <v>27653.079999999994</v>
      </c>
      <c r="E36" s="239">
        <f>'Patient Acquisition'!E85</f>
        <v>30824.559999999998</v>
      </c>
      <c r="F36" s="239">
        <f>'Patient Acquisition'!F85</f>
        <v>33996.039999999994</v>
      </c>
      <c r="G36" s="239">
        <f>'Patient Acquisition'!G85</f>
        <v>37912.100813008125</v>
      </c>
      <c r="H36" s="239">
        <f>'Patient Acquisition'!H85</f>
        <v>41001.704065040649</v>
      </c>
      <c r="I36" s="239">
        <f>'Patient Acquisition'!I85</f>
        <v>41001.704065040642</v>
      </c>
      <c r="J36" s="239">
        <f>'Patient Acquisition'!J85</f>
        <v>41001.704065040649</v>
      </c>
      <c r="K36" s="239">
        <f>'Patient Acquisition'!K85</f>
        <v>41001.704065040649</v>
      </c>
    </row>
    <row r="37" spans="1:11" ht="15" customHeight="1" x14ac:dyDescent="0.2">
      <c r="A37" s="222" t="s">
        <v>593</v>
      </c>
      <c r="B37" s="239">
        <f>Assumptions!C190</f>
        <v>30310.799999999999</v>
      </c>
      <c r="C37" s="239">
        <f>Assumptions!D190</f>
        <v>31668</v>
      </c>
      <c r="D37" s="239">
        <f>Assumptions!E190</f>
        <v>38001.600000000006</v>
      </c>
      <c r="E37" s="239">
        <f>Assumptions!F190</f>
        <v>41620.799999999996</v>
      </c>
      <c r="F37" s="239">
        <f>Assumptions!G190</f>
        <v>44335.199999999997</v>
      </c>
      <c r="G37" s="239">
        <f>Assumptions!H190</f>
        <v>49311.600000000006</v>
      </c>
      <c r="H37" s="239">
        <f>Assumptions!I190</f>
        <v>50668.800000000003</v>
      </c>
      <c r="I37" s="239">
        <f>Assumptions!J190</f>
        <v>50668.800000000003</v>
      </c>
      <c r="J37" s="239">
        <f>Assumptions!K190</f>
        <v>50668.800000000003</v>
      </c>
      <c r="K37" s="239">
        <f>Assumptions!L190</f>
        <v>52026</v>
      </c>
    </row>
    <row r="38" spans="1:11" ht="15" customHeight="1" x14ac:dyDescent="0.2">
      <c r="A38" s="222" t="s">
        <v>594</v>
      </c>
      <c r="B38" s="239">
        <f>Assumptions!$D$44</f>
        <v>55639.999999999993</v>
      </c>
      <c r="C38" s="239">
        <f>Assumptions!$D$44</f>
        <v>55639.999999999993</v>
      </c>
      <c r="D38" s="239">
        <f>Assumptions!$D$44</f>
        <v>55639.999999999993</v>
      </c>
      <c r="E38" s="239">
        <f>Assumptions!$D$44</f>
        <v>55639.999999999993</v>
      </c>
      <c r="F38" s="239">
        <f>Assumptions!$D$44</f>
        <v>55639.999999999993</v>
      </c>
      <c r="G38" s="239">
        <f>Assumptions!$D$44</f>
        <v>55639.999999999993</v>
      </c>
      <c r="H38" s="239">
        <f>Assumptions!$D$44</f>
        <v>55639.999999999993</v>
      </c>
      <c r="I38" s="239">
        <f>Assumptions!$D$44</f>
        <v>55639.999999999993</v>
      </c>
      <c r="J38" s="239">
        <f>Assumptions!$D$44</f>
        <v>55639.999999999993</v>
      </c>
      <c r="K38" s="239">
        <f>Assumptions!$D$44</f>
        <v>55639.999999999993</v>
      </c>
    </row>
    <row r="39" spans="1:11" ht="15" customHeight="1" x14ac:dyDescent="0.2">
      <c r="A39" s="89" t="s">
        <v>595</v>
      </c>
      <c r="B39" s="90">
        <f>IF(B37&gt;0,B36/(B37/Assumptions!$D$19),0)</f>
        <v>0.36571641791044768</v>
      </c>
      <c r="C39" s="90">
        <f>IF(C37&gt;0,C36/(C37/Assumptions!$D$19),0)</f>
        <v>0.55487142857142846</v>
      </c>
      <c r="D39" s="90">
        <f>IF(D37&gt;0,D36/(D37/Assumptions!$D$19),0)</f>
        <v>0.63308333333333311</v>
      </c>
      <c r="E39" s="90">
        <f>IF(E37&gt;0,E36/(E37/Assumptions!$D$19),0)</f>
        <v>0.64432608695652183</v>
      </c>
      <c r="F39" s="90">
        <f>IF(F37&gt;0,F36/(F37/Assumptions!$D$19),0)</f>
        <v>0.66711224489795906</v>
      </c>
      <c r="G39" s="90">
        <f>IF(G37&gt;0,G36/(G37/Assumptions!$D$19),0)</f>
        <v>0.66887968971432821</v>
      </c>
      <c r="H39" s="90">
        <f>IF(H37&gt;0,H36/(H37/Assumptions!$D$19),0)</f>
        <v>0.70401277584204403</v>
      </c>
      <c r="I39" s="90">
        <f>IF(I37&gt;0,I36/(I37/Assumptions!$D$19),0)</f>
        <v>0.70401277584204391</v>
      </c>
      <c r="J39" s="90">
        <f>IF(J37&gt;0,J36/(J37/Assumptions!$D$19),0)</f>
        <v>0.70401277584204403</v>
      </c>
      <c r="K39" s="90">
        <f>IF(K37&gt;0,K36/(K37/Assumptions!$D$19),0)</f>
        <v>0.68564722516790377</v>
      </c>
    </row>
    <row r="40" spans="1:11" ht="15" customHeight="1" x14ac:dyDescent="0.2">
      <c r="A40" s="477" t="s">
        <v>596</v>
      </c>
      <c r="B40" s="476">
        <f>Assumptions!C159</f>
        <v>0.22900000000000001</v>
      </c>
      <c r="C40" s="476">
        <f>Assumptions!D159</f>
        <v>0.36299999999999999</v>
      </c>
      <c r="D40" s="476">
        <f>Assumptions!E159</f>
        <v>0.497</v>
      </c>
      <c r="E40" s="476">
        <f>Assumptions!F159</f>
        <v>0.55400000000000005</v>
      </c>
      <c r="F40" s="476">
        <f>Assumptions!G159</f>
        <v>0.61099999999999999</v>
      </c>
      <c r="G40" s="476">
        <f>Assumptions!H159</f>
        <v>0.68799999999999994</v>
      </c>
      <c r="H40" s="476">
        <f>Assumptions!I159</f>
        <v>0.76400000000000001</v>
      </c>
      <c r="I40" s="476">
        <f>Assumptions!J159</f>
        <v>0.76400000000000001</v>
      </c>
      <c r="J40" s="476">
        <f>Assumptions!K159</f>
        <v>0.76400000000000001</v>
      </c>
      <c r="K40" s="476">
        <f>Assumptions!L159</f>
        <v>0.76400000000000001</v>
      </c>
    </row>
    <row r="41" spans="1:11" ht="15" customHeight="1" x14ac:dyDescent="0.2">
      <c r="A41" s="466" t="s">
        <v>597</v>
      </c>
      <c r="B41" s="470">
        <f t="shared" ref="B41:K41" si="0">B42-B40</f>
        <v>0</v>
      </c>
      <c r="C41" s="470">
        <f t="shared" si="0"/>
        <v>0</v>
      </c>
      <c r="D41" s="470">
        <f t="shared" si="0"/>
        <v>0</v>
      </c>
      <c r="E41" s="470">
        <f t="shared" si="0"/>
        <v>0</v>
      </c>
      <c r="F41" s="470">
        <f t="shared" si="0"/>
        <v>0</v>
      </c>
      <c r="G41" s="470">
        <f t="shared" si="0"/>
        <v>-6.6178861788617205E-3</v>
      </c>
      <c r="H41" s="470">
        <f t="shared" si="0"/>
        <v>-2.708943089430893E-2</v>
      </c>
      <c r="I41" s="470">
        <f t="shared" si="0"/>
        <v>-2.7089430894309041E-2</v>
      </c>
      <c r="J41" s="470">
        <f t="shared" si="0"/>
        <v>-2.708943089430893E-2</v>
      </c>
      <c r="K41" s="470">
        <f t="shared" si="0"/>
        <v>-2.708943089430893E-2</v>
      </c>
    </row>
    <row r="42" spans="1:11" ht="15" customHeight="1" x14ac:dyDescent="0.2">
      <c r="A42" s="91" t="s">
        <v>598</v>
      </c>
      <c r="B42" s="92">
        <f t="shared" ref="B42:K42" si="1">IF(B38&gt;0,B36/B38,0)</f>
        <v>0.22899999999999998</v>
      </c>
      <c r="C42" s="92">
        <f t="shared" si="1"/>
        <v>0.36299999999999999</v>
      </c>
      <c r="D42" s="92">
        <f t="shared" si="1"/>
        <v>0.49699999999999994</v>
      </c>
      <c r="E42" s="92">
        <f t="shared" si="1"/>
        <v>0.55400000000000005</v>
      </c>
      <c r="F42" s="92">
        <f t="shared" si="1"/>
        <v>0.61099999999999999</v>
      </c>
      <c r="G42" s="92">
        <f t="shared" si="1"/>
        <v>0.68138211382113822</v>
      </c>
      <c r="H42" s="92">
        <f t="shared" si="1"/>
        <v>0.73691056910569108</v>
      </c>
      <c r="I42" s="92">
        <f t="shared" si="1"/>
        <v>0.73691056910569097</v>
      </c>
      <c r="J42" s="92">
        <f t="shared" si="1"/>
        <v>0.73691056910569108</v>
      </c>
      <c r="K42" s="92">
        <f t="shared" si="1"/>
        <v>0.73691056910569108</v>
      </c>
    </row>
    <row r="43" spans="1:11" ht="15" customHeight="1" x14ac:dyDescent="0.2">
      <c r="A43" s="222" t="s">
        <v>599</v>
      </c>
      <c r="B43" s="245" t="str">
        <f t="shared" ref="B43:K43" si="2">IF(B39&gt;B42,"Staff","Room")</f>
        <v>Staff</v>
      </c>
      <c r="C43" s="245" t="str">
        <f t="shared" si="2"/>
        <v>Staff</v>
      </c>
      <c r="D43" s="245" t="str">
        <f t="shared" si="2"/>
        <v>Staff</v>
      </c>
      <c r="E43" s="245" t="str">
        <f t="shared" si="2"/>
        <v>Staff</v>
      </c>
      <c r="F43" s="245" t="str">
        <f t="shared" si="2"/>
        <v>Staff</v>
      </c>
      <c r="G43" s="245" t="str">
        <f t="shared" si="2"/>
        <v>Room</v>
      </c>
      <c r="H43" s="245" t="str">
        <f t="shared" si="2"/>
        <v>Room</v>
      </c>
      <c r="I43" s="245" t="str">
        <f t="shared" si="2"/>
        <v>Room</v>
      </c>
      <c r="J43" s="245" t="str">
        <f t="shared" si="2"/>
        <v>Room</v>
      </c>
      <c r="K43" s="245" t="str">
        <f t="shared" si="2"/>
        <v>Room</v>
      </c>
    </row>
    <row r="44" spans="1:11" ht="15" customHeight="1" x14ac:dyDescent="0.2">
      <c r="A44" s="222" t="s">
        <v>600</v>
      </c>
      <c r="B44" s="239">
        <f t="shared" ref="B44:K44" si="3">MIN(B37,B38)-B36</f>
        <v>17569.240000000002</v>
      </c>
      <c r="C44" s="239">
        <f t="shared" si="3"/>
        <v>11470.680000000004</v>
      </c>
      <c r="D44" s="239">
        <f t="shared" si="3"/>
        <v>10348.520000000011</v>
      </c>
      <c r="E44" s="239">
        <f t="shared" si="3"/>
        <v>10796.239999999998</v>
      </c>
      <c r="F44" s="239">
        <f t="shared" si="3"/>
        <v>10339.160000000003</v>
      </c>
      <c r="G44" s="239">
        <f t="shared" si="3"/>
        <v>11399.499186991881</v>
      </c>
      <c r="H44" s="239">
        <f t="shared" si="3"/>
        <v>9667.0959349593541</v>
      </c>
      <c r="I44" s="239">
        <f t="shared" si="3"/>
        <v>9667.0959349593613</v>
      </c>
      <c r="J44" s="239">
        <f t="shared" si="3"/>
        <v>9667.0959349593541</v>
      </c>
      <c r="K44" s="239">
        <f t="shared" si="3"/>
        <v>11024.295934959351</v>
      </c>
    </row>
    <row r="45" spans="1:11" ht="15" customHeight="1" x14ac:dyDescent="0.2">
      <c r="A45" s="222" t="s">
        <v>601</v>
      </c>
      <c r="B45" s="239">
        <f>IF(B36&gt;0,Revenue!B13/B36,0)</f>
        <v>600.02071959791431</v>
      </c>
      <c r="C45" s="239">
        <f>IF(C36&gt;0,Revenue!C13/C36,0)</f>
        <v>620.22090059473248</v>
      </c>
      <c r="D45" s="239">
        <f>IF(D36&gt;0,Revenue!D13/D36,0)</f>
        <v>645.62567930950206</v>
      </c>
      <c r="E45" s="239">
        <f>IF(E36&gt;0,Revenue!E13/E36,0)</f>
        <v>672.78227740477098</v>
      </c>
      <c r="F45" s="239">
        <f>IF(F36&gt;0,Revenue!F13/F36,0)</f>
        <v>698.30109079339843</v>
      </c>
      <c r="G45" s="239">
        <f>IF(G36&gt;0,Revenue!G13/G36,0)</f>
        <v>729.31588061814432</v>
      </c>
      <c r="H45" s="239">
        <f>IF(H36&gt;0,Revenue!H13/H36,0)</f>
        <v>761.43733804434646</v>
      </c>
      <c r="I45" s="239">
        <f>IF(I36&gt;0,Revenue!I13/I36,0)</f>
        <v>791.89483156612062</v>
      </c>
      <c r="J45" s="239">
        <f>IF(J36&gt;0,Revenue!J13/J36,0)</f>
        <v>823.5706248287654</v>
      </c>
      <c r="K45" s="239">
        <f>IF(K36&gt;0,Revenue!K13/K36,0)</f>
        <v>856.51344982191574</v>
      </c>
    </row>
    <row r="46" spans="1:11" ht="15" customHeight="1" x14ac:dyDescent="0.2">
      <c r="A46" s="427" t="s">
        <v>602</v>
      </c>
      <c r="B46" s="515" t="s">
        <v>566</v>
      </c>
      <c r="C46" s="515" t="s">
        <v>567</v>
      </c>
      <c r="D46" s="515" t="s">
        <v>568</v>
      </c>
      <c r="E46" s="515" t="s">
        <v>569</v>
      </c>
      <c r="F46" s="515" t="s">
        <v>570</v>
      </c>
      <c r="G46" s="515" t="s">
        <v>571</v>
      </c>
      <c r="H46" s="515" t="s">
        <v>572</v>
      </c>
      <c r="I46" s="515" t="s">
        <v>573</v>
      </c>
      <c r="J46" s="515" t="s">
        <v>574</v>
      </c>
      <c r="K46" s="515" t="s">
        <v>575</v>
      </c>
    </row>
    <row r="47" spans="1:11" ht="15" customHeight="1" x14ac:dyDescent="0.2">
      <c r="A47" s="365" t="s">
        <v>603</v>
      </c>
      <c r="B47" s="516">
        <f>IF(Assumptions!C179&gt;0,B7/Assumptions!C179,0)</f>
        <v>805.69936766034323</v>
      </c>
      <c r="C47" s="516">
        <f>IF(Assumptions!D179&gt;0,C7/Assumptions!D179,0)</f>
        <v>1277.1566395663954</v>
      </c>
      <c r="D47" s="516">
        <f>IF(Assumptions!E179&gt;0,D7/Assumptions!E179,0)</f>
        <v>1311.4604336043358</v>
      </c>
      <c r="E47" s="516">
        <f>IF(Assumptions!F179&gt;0,E7/Assumptions!F179,0)</f>
        <v>1349.4178861788616</v>
      </c>
      <c r="F47" s="516">
        <f>IF(Assumptions!G179&gt;0,F7/Assumptions!G179,0)</f>
        <v>1289.822655826558</v>
      </c>
      <c r="G47" s="516">
        <f>IF(Assumptions!H179&gt;0,G7/Assumptions!H179,0)</f>
        <v>1281.5028216164512</v>
      </c>
      <c r="H47" s="516">
        <f>IF(Assumptions!I179&gt;0,H7/Assumptions!I179,0)</f>
        <v>1344.0050587172536</v>
      </c>
      <c r="I47" s="516">
        <f>IF(Assumptions!J179&gt;0,I7/Assumptions!J179,0)</f>
        <v>1344.0050587172532</v>
      </c>
      <c r="J47" s="516">
        <f>IF(Assumptions!K179&gt;0,J7/Assumptions!K179,0)</f>
        <v>1344.0050587172536</v>
      </c>
      <c r="K47" s="516">
        <f>IF(Assumptions!L179&gt;0,K7/Assumptions!L179,0)</f>
        <v>1273.2679503637139</v>
      </c>
    </row>
    <row r="48" spans="1:11" ht="15" customHeight="1" x14ac:dyDescent="0.2">
      <c r="A48" s="365" t="s">
        <v>604</v>
      </c>
      <c r="B48" s="516">
        <f>IF(Assumptions!C180&gt;0,B12/Assumptions!C180,0)</f>
        <v>517.94959349593489</v>
      </c>
      <c r="C48" s="516">
        <f>IF(Assumptions!D180&gt;0,C12/Assumptions!D180,0)</f>
        <v>821.02926829268279</v>
      </c>
      <c r="D48" s="516">
        <f>IF(Assumptions!E180&gt;0,D12/Assumptions!E180,0)</f>
        <v>843.08170731707298</v>
      </c>
      <c r="E48" s="516">
        <f>IF(Assumptions!F180&gt;0,E12/Assumptions!F180,0)</f>
        <v>751.81853658536568</v>
      </c>
      <c r="F48" s="516">
        <f>IF(Assumptions!G180&gt;0,F12/Assumptions!G180,0)</f>
        <v>829.17170731707301</v>
      </c>
      <c r="G48" s="516">
        <f>IF(Assumptions!H180&gt;0,G12/Assumptions!H180,0)</f>
        <v>778.05528455284536</v>
      </c>
      <c r="H48" s="516">
        <f>IF(Assumptions!I180&gt;0,H12/Assumptions!I180,0)</f>
        <v>834.6</v>
      </c>
      <c r="I48" s="516">
        <f>IF(Assumptions!J180&gt;0,I12/Assumptions!J180,0)</f>
        <v>834.6</v>
      </c>
      <c r="J48" s="516">
        <f>IF(Assumptions!K180&gt;0,J12/Assumptions!K180,0)</f>
        <v>834.6</v>
      </c>
      <c r="K48" s="516">
        <f>IF(Assumptions!L180&gt;0,K12/Assumptions!L180,0)</f>
        <v>834.6</v>
      </c>
    </row>
    <row r="49" spans="1:12" ht="15" customHeight="1" x14ac:dyDescent="0.2">
      <c r="A49" s="365" t="s">
        <v>605</v>
      </c>
      <c r="B49" s="516">
        <f>IF(Assumptions!C182*Assumptions!$B$315&gt;0,B17/(Assumptions!C182*Assumptions!$B$315),0)</f>
        <v>517.94959349593489</v>
      </c>
      <c r="C49" s="516">
        <f>IF(Assumptions!D182*Assumptions!$B$315&gt;0,C17/(Assumptions!D182*Assumptions!$B$315),0)</f>
        <v>821.02926829268279</v>
      </c>
      <c r="D49" s="516">
        <f>IF(Assumptions!E182*Assumptions!$B$315&gt;0,D17/(Assumptions!E182*Assumptions!$B$315),0)</f>
        <v>1124.1089430894306</v>
      </c>
      <c r="E49" s="516">
        <f>IF(Assumptions!F182*Assumptions!$B$315&gt;0,E17/(Assumptions!F182*Assumptions!$B$315),0)</f>
        <v>1253.0308943089428</v>
      </c>
      <c r="F49" s="516">
        <f>IF(Assumptions!G182*Assumptions!$B$315&gt;0,F17/(Assumptions!G182*Assumptions!$B$315),0)</f>
        <v>1381.9528455284551</v>
      </c>
      <c r="G49" s="516">
        <f>IF(Assumptions!H182*Assumptions!$B$315&gt;0,G17/(Assumptions!H182*Assumptions!$B$315),0)</f>
        <v>1556.1105691056907</v>
      </c>
      <c r="H49" s="516">
        <f>IF(Assumptions!I182*Assumptions!$B$315&gt;0,H17/(Assumptions!I182*Assumptions!$B$315),0)</f>
        <v>1728.0065040650402</v>
      </c>
      <c r="I49" s="516">
        <f>IF(Assumptions!J182*Assumptions!$B$315&gt;0,I17/(Assumptions!J182*Assumptions!$B$315),0)</f>
        <v>1728.00650406504</v>
      </c>
      <c r="J49" s="516">
        <f>IF(Assumptions!K182*Assumptions!$B$315&gt;0,J17/(Assumptions!K182*Assumptions!$B$315),0)</f>
        <v>1728.0065040650402</v>
      </c>
      <c r="K49" s="516">
        <f>IF(Assumptions!L182*Assumptions!$B$315&gt;0,K17/(Assumptions!L182*Assumptions!$B$315),0)</f>
        <v>1728.0065040650402</v>
      </c>
    </row>
    <row r="50" spans="1:12" ht="15" customHeight="1" x14ac:dyDescent="0.2">
      <c r="A50" s="365" t="s">
        <v>606</v>
      </c>
      <c r="B50" s="516">
        <f>IF(Assumptions!C182*Assumptions!$B$316&gt;0,B22/(Assumptions!C182*Assumptions!$B$316),0)</f>
        <v>517.94959349593489</v>
      </c>
      <c r="C50" s="516">
        <f>IF(Assumptions!D182*Assumptions!$B$316&gt;0,C22/(Assumptions!D182*Assumptions!$B$316),0)</f>
        <v>821.02926829268279</v>
      </c>
      <c r="D50" s="516">
        <f>IF(Assumptions!E182*Assumptions!$B$316&gt;0,D22/(Assumptions!E182*Assumptions!$B$316),0)</f>
        <v>1124.1089430894306</v>
      </c>
      <c r="E50" s="516">
        <f>IF(Assumptions!F182*Assumptions!$B$316&gt;0,E22/(Assumptions!F182*Assumptions!$B$316),0)</f>
        <v>1253.0308943089428</v>
      </c>
      <c r="F50" s="516">
        <f>IF(Assumptions!G182*Assumptions!$B$316&gt;0,F22/(Assumptions!G182*Assumptions!$B$316),0)</f>
        <v>1381.9528455284551</v>
      </c>
      <c r="G50" s="516">
        <f>IF(Assumptions!H182*Assumptions!$B$316&gt;0,G22/(Assumptions!H182*Assumptions!$B$316),0)</f>
        <v>1556.1105691056907</v>
      </c>
      <c r="H50" s="516">
        <f>IF(Assumptions!I182*Assumptions!$B$316&gt;0,H22/(Assumptions!I182*Assumptions!$B$316),0)</f>
        <v>1728.0065040650402</v>
      </c>
      <c r="I50" s="516">
        <f>IF(Assumptions!J182*Assumptions!$B$316&gt;0,I22/(Assumptions!J182*Assumptions!$B$316),0)</f>
        <v>1728.00650406504</v>
      </c>
      <c r="J50" s="516">
        <f>IF(Assumptions!K182*Assumptions!$B$316&gt;0,J22/(Assumptions!K182*Assumptions!$B$316),0)</f>
        <v>1728.0065040650402</v>
      </c>
      <c r="K50" s="516">
        <f>IF(Assumptions!L182*Assumptions!$B$316&gt;0,K22/(Assumptions!L182*Assumptions!$B$316),0)</f>
        <v>1728.0065040650402</v>
      </c>
    </row>
    <row r="51" spans="1:12" ht="15" customHeight="1" x14ac:dyDescent="0.2">
      <c r="A51" s="365" t="s">
        <v>348</v>
      </c>
      <c r="B51" s="516">
        <f>IF(Assumptions!C181&gt;0,B26/Assumptions!C181,0)</f>
        <v>966.83924119241192</v>
      </c>
      <c r="C51" s="516">
        <f>IF(Assumptions!D181&gt;0,C26/Assumptions!D181,0)</f>
        <v>1149.4409756097559</v>
      </c>
      <c r="D51" s="516">
        <f>IF(Assumptions!E181&gt;0,D26/Assumptions!E181,0)</f>
        <v>1259.0020162601625</v>
      </c>
      <c r="E51" s="516">
        <f>IF(Assumptions!F181&gt;0,E26/Assumptions!F181,0)</f>
        <v>1169.4955013550134</v>
      </c>
      <c r="F51" s="516">
        <f>IF(Assumptions!G181&gt;0,F26/Assumptions!G181,0)</f>
        <v>1289.822655826558</v>
      </c>
      <c r="G51" s="516">
        <f>IF(Assumptions!H181&gt;0,G26/Assumptions!H181,0)</f>
        <v>1192.2857142857142</v>
      </c>
      <c r="H51" s="516">
        <f>IF(Assumptions!I181&gt;0,H26/Assumptions!I181,0)</f>
        <v>1192.2857142857142</v>
      </c>
      <c r="I51" s="516">
        <f>IF(Assumptions!J181&gt;0,I26/Assumptions!J181,0)</f>
        <v>1192.2857142857142</v>
      </c>
      <c r="J51" s="516">
        <f>IF(Assumptions!K181&gt;0,J26/Assumptions!K181,0)</f>
        <v>1192.2857142857142</v>
      </c>
      <c r="K51" s="516">
        <f>IF(Assumptions!L181&gt;0,K26/Assumptions!L181,0)</f>
        <v>1192.2857142857142</v>
      </c>
    </row>
    <row r="52" spans="1:12" ht="15" customHeight="1" x14ac:dyDescent="0.2">
      <c r="A52" s="365" t="s">
        <v>345</v>
      </c>
      <c r="B52" s="517">
        <f>IF(Assumptions!C178&gt;0,(B7*Assumptions!$D$39/Assumptions!$D$40)/Assumptions!C178,0)</f>
        <v>628.44550677506766</v>
      </c>
      <c r="C52" s="517">
        <f>IF(Assumptions!D178&gt;0,(C7*Assumptions!$D$39/Assumptions!$D$40)/Assumptions!D178,0)</f>
        <v>996.18217886178843</v>
      </c>
      <c r="D52" s="517">
        <f>IF(Assumptions!E178&gt;0,(D7*Assumptions!$D$39/Assumptions!$D$40)/Assumptions!E178,0)</f>
        <v>1363.9188509485091</v>
      </c>
      <c r="E52" s="517">
        <f>IF(Assumptions!F178&gt;0,(E7*Assumptions!$D$39/Assumptions!$D$40)/Assumptions!F178,0)</f>
        <v>1520.3441517615174</v>
      </c>
      <c r="F52" s="517">
        <f>IF(Assumptions!G178&gt;0,(F7*Assumptions!$D$39/Assumptions!$D$40)/Assumptions!G178,0)</f>
        <v>1676.7694525745253</v>
      </c>
      <c r="G52" s="517">
        <f>IF(Assumptions!H178&gt;0,(G7*Assumptions!$D$39/Assumptions!$D$40)/Assumptions!H178,0)</f>
        <v>1888.080823848238</v>
      </c>
      <c r="H52" s="517">
        <f>IF(Assumptions!I178&gt;0,(H7*Assumptions!$D$39/Assumptions!$D$40)/Assumptions!I178,0)</f>
        <v>2096.6478915989155</v>
      </c>
      <c r="I52" s="517">
        <f>IF(Assumptions!J178&gt;0,(I7*Assumptions!$D$39/Assumptions!$D$40)/Assumptions!J178,0)</f>
        <v>2096.6478915989151</v>
      </c>
      <c r="J52" s="517">
        <f>IF(Assumptions!K178&gt;0,(J7*Assumptions!$D$39/Assumptions!$D$40)/Assumptions!K178,0)</f>
        <v>2096.6478915989155</v>
      </c>
      <c r="K52" s="517">
        <f>IF(Assumptions!L178&gt;0,(K7*Assumptions!$D$39/Assumptions!$D$40)/Assumptions!L178,0)</f>
        <v>2096.6478915989155</v>
      </c>
    </row>
    <row r="53" spans="1:12" ht="15" customHeight="1" x14ac:dyDescent="0.2">
      <c r="A53" s="514" t="s">
        <v>607</v>
      </c>
      <c r="B53" s="518">
        <f>IF(Assumptions!C182&gt;0,(B17+B22)/Assumptions!C182,0)</f>
        <v>517.94959349593489</v>
      </c>
      <c r="C53" s="518">
        <f>IF(Assumptions!D182&gt;0,(C17+C22)/Assumptions!D182,0)</f>
        <v>821.02926829268279</v>
      </c>
      <c r="D53" s="518">
        <f>IF(Assumptions!E182&gt;0,(D17+D22)/Assumptions!E182,0)</f>
        <v>1124.1089430894306</v>
      </c>
      <c r="E53" s="518">
        <f>IF(Assumptions!F182&gt;0,(E17+E22)/Assumptions!F182,0)</f>
        <v>1253.0308943089428</v>
      </c>
      <c r="F53" s="518">
        <f>IF(Assumptions!G182&gt;0,(F17+F22)/Assumptions!G182,0)</f>
        <v>1381.9528455284551</v>
      </c>
      <c r="G53" s="518">
        <f>IF(Assumptions!H182&gt;0,(G17+G22)/Assumptions!H182,0)</f>
        <v>1556.1105691056907</v>
      </c>
      <c r="H53" s="518">
        <f>IF(Assumptions!I182&gt;0,(H17+H22)/Assumptions!I182,0)</f>
        <v>1728.0065040650402</v>
      </c>
      <c r="I53" s="518">
        <f>IF(Assumptions!J182&gt;0,(I17+I22)/Assumptions!J182,0)</f>
        <v>1728.00650406504</v>
      </c>
      <c r="J53" s="518">
        <f>IF(Assumptions!K182&gt;0,(J17+J22)/Assumptions!K182,0)</f>
        <v>1728.0065040650402</v>
      </c>
      <c r="K53" s="518">
        <f>IF(Assumptions!L182&gt;0,(K17+K22)/Assumptions!L182,0)</f>
        <v>1728.0065040650402</v>
      </c>
    </row>
    <row r="54" spans="1:12" ht="15" customHeight="1" x14ac:dyDescent="0.2">
      <c r="A54" s="433" t="s">
        <v>608</v>
      </c>
      <c r="B54" s="519">
        <f>IF(Assumptions!C183&gt;0,B36/Assumptions!C183,0)</f>
        <v>637.07799999999986</v>
      </c>
      <c r="C54" s="519">
        <f>IF(Assumptions!D183&gt;0,C36/Assumptions!D183,0)</f>
        <v>961.77714285714262</v>
      </c>
      <c r="D54" s="519">
        <f>IF(Assumptions!E183&gt;0,D36/Assumptions!E183,0)</f>
        <v>1063.5799999999997</v>
      </c>
      <c r="E54" s="519">
        <f>IF(Assumptions!F183&gt;0,E36/Assumptions!F183,0)</f>
        <v>1062.9158620689655</v>
      </c>
      <c r="F54" s="519">
        <f>IF(Assumptions!G183&gt;0,F36/Assumptions!G183,0)</f>
        <v>1096.6464516129031</v>
      </c>
      <c r="G54" s="519">
        <f>IF(Assumptions!H183&gt;0,G36/Assumptions!H183,0)</f>
        <v>1083.2028803716607</v>
      </c>
      <c r="H54" s="519">
        <f>IF(Assumptions!I183&gt;0,H36/Assumptions!I183,0)</f>
        <v>1138.936224028907</v>
      </c>
      <c r="I54" s="519">
        <f>IF(Assumptions!J183&gt;0,I36/Assumptions!J183,0)</f>
        <v>1138.9362240289067</v>
      </c>
      <c r="J54" s="519">
        <f>IF(Assumptions!K183&gt;0,J36/Assumptions!K183,0)</f>
        <v>1138.936224028907</v>
      </c>
      <c r="K54" s="519">
        <f>IF(Assumptions!L183&gt;0,K36/Assumptions!L183,0)</f>
        <v>1108.1541639200175</v>
      </c>
    </row>
    <row r="55" spans="1:12" ht="15" customHeight="1" x14ac:dyDescent="0.2">
      <c r="A55" s="222" t="s">
        <v>609</v>
      </c>
      <c r="B55" s="239">
        <f>Revenue!B13/Assumptions!$D$9</f>
        <v>12330.967741935483</v>
      </c>
      <c r="C55" s="239">
        <f>Revenue!C13/Assumptions!$D$9</f>
        <v>20204.516129032258</v>
      </c>
      <c r="D55" s="239">
        <f>Revenue!D13/Assumptions!$D$9</f>
        <v>28796.029935483875</v>
      </c>
      <c r="E55" s="239">
        <f>Revenue!E13/Assumptions!$D$9</f>
        <v>33448.738188387106</v>
      </c>
      <c r="F55" s="239">
        <f>Revenue!F13/Assumptions!$D$9</f>
        <v>38289.470668800001</v>
      </c>
      <c r="G55" s="239">
        <f>Revenue!G13/Assumptions!$D$9</f>
        <v>44596.608371811111</v>
      </c>
      <c r="H55" s="239">
        <f>Revenue!H13/Assumptions!$D$9</f>
        <v>50355.207094462276</v>
      </c>
      <c r="I55" s="239">
        <f>Revenue!I13/Assumptions!$D$9</f>
        <v>52369.415378240781</v>
      </c>
      <c r="J55" s="239">
        <f>Revenue!J13/Assumptions!$D$9</f>
        <v>54464.191993370412</v>
      </c>
      <c r="K55" s="239">
        <f>Revenue!K13/Assumptions!$D$9</f>
        <v>56642.759673105218</v>
      </c>
    </row>
    <row r="56" spans="1:12" ht="15" customHeight="1" x14ac:dyDescent="0.2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</row>
    <row r="57" spans="1:12" ht="15" customHeight="1" x14ac:dyDescent="0.2">
      <c r="A57" s="243" t="s">
        <v>610</v>
      </c>
      <c r="B57" s="190"/>
      <c r="C57" s="190"/>
      <c r="D57" s="190"/>
      <c r="E57" s="190"/>
      <c r="F57" s="190"/>
      <c r="G57" s="190"/>
      <c r="H57" s="190"/>
      <c r="I57" s="190"/>
      <c r="J57" s="190"/>
      <c r="K57" s="190"/>
    </row>
    <row r="58" spans="1:12" ht="15" customHeight="1" x14ac:dyDescent="0.2">
      <c r="A58" s="222" t="s">
        <v>611</v>
      </c>
      <c r="B58" s="245">
        <f>IF(B38&gt;0,'Patient Acquisition'!B33/B38,0)</f>
        <v>0</v>
      </c>
      <c r="C58" s="245">
        <f>IF(C38&gt;0,'Patient Acquisition'!C33/C38,0)</f>
        <v>0.10030200000000002</v>
      </c>
      <c r="D58" s="245">
        <f>IF(D38&gt;0,'Patient Acquisition'!D33/D38,0)</f>
        <v>0.163713</v>
      </c>
      <c r="E58" s="245">
        <f>IF(E38&gt;0,'Patient Acquisition'!E33/E38,0)</f>
        <v>0.23060799999999995</v>
      </c>
      <c r="F58" s="245">
        <f>IF(F38&gt;0,'Patient Acquisition'!F33/F38,0)</f>
        <v>0.26425799999999999</v>
      </c>
      <c r="G58" s="245">
        <f>IF(G38&gt;0,'Patient Acquisition'!G33/G38,0)</f>
        <v>0.29939000000000004</v>
      </c>
      <c r="H58" s="245">
        <f>IF(H38&gt;0,'Patient Acquisition'!H33/H38,0)</f>
        <v>0.34187771428571423</v>
      </c>
      <c r="I58" s="245">
        <f>IF(I38&gt;0,'Patient Acquisition'!I33/I38,0)</f>
        <v>0.37386342857142868</v>
      </c>
      <c r="J58" s="245">
        <f>IF(J38&gt;0,'Patient Acquisition'!J33/J38,0)</f>
        <v>0.3832451428571429</v>
      </c>
      <c r="K58" s="245">
        <f>IF(K38&gt;0,'Patient Acquisition'!K33/K38,0)</f>
        <v>0.39262685714285722</v>
      </c>
    </row>
    <row r="59" spans="1:12" ht="15" customHeight="1" x14ac:dyDescent="0.2">
      <c r="A59" s="222" t="s">
        <v>612</v>
      </c>
      <c r="B59" s="245">
        <f>IF(B38&gt;0,'Patient Acquisition'!B34/B38,0)</f>
        <v>9.0636232925952562E-2</v>
      </c>
      <c r="C59" s="245">
        <f>IF(C38&gt;0,'Patient Acquisition'!C34/C38,0)</f>
        <v>0.14555197125808772</v>
      </c>
      <c r="D59" s="245">
        <f>IF(D38&gt;0,'Patient Acquisition'!D34/D38,0)</f>
        <v>0.17385209382099212</v>
      </c>
      <c r="E59" s="245">
        <f>IF(E38&gt;0,'Patient Acquisition'!E34/E38,0)</f>
        <v>0.20368006451204171</v>
      </c>
      <c r="F59" s="245">
        <f>IF(F38&gt;0,'Patient Acquisition'!F34/F38,0)</f>
        <v>0.22182712373764382</v>
      </c>
      <c r="G59" s="245">
        <f>IF(G38&gt;0,'Patient Acquisition'!G34/G38,0)</f>
        <v>0.24080935592452601</v>
      </c>
      <c r="H59" s="245">
        <f>IF(H38&gt;0,'Patient Acquisition'!H34/H38,0)</f>
        <v>0.26275638086360947</v>
      </c>
      <c r="I59" s="245">
        <f>IF(I38&gt;0,'Patient Acquisition'!I34/I38,0)</f>
        <v>0.2812552581925043</v>
      </c>
      <c r="J59" s="245">
        <f>IF(J38&gt;0,'Patient Acquisition'!J34/J38,0)</f>
        <v>0.29196589653070087</v>
      </c>
      <c r="K59" s="245">
        <f>IF(K38&gt;0,'Patient Acquisition'!K34/K38,0)</f>
        <v>0.30304319592866447</v>
      </c>
    </row>
    <row r="60" spans="1:12" ht="15" customHeight="1" x14ac:dyDescent="0.2">
      <c r="A60" s="222" t="s">
        <v>613</v>
      </c>
      <c r="B60" s="245">
        <f>IF(B38&gt;0,'Patient Acquisition'!B35/B38,0)</f>
        <v>0.13836376707404743</v>
      </c>
      <c r="C60" s="245">
        <f>IF(C38&gt;0,'Patient Acquisition'!C35/C38,0)</f>
        <v>0.1171460287419122</v>
      </c>
      <c r="D60" s="245">
        <f>IF(D38&gt;0,'Patient Acquisition'!D35/D38,0)</f>
        <v>0.15943490617900785</v>
      </c>
      <c r="E60" s="245">
        <f>IF(E38&gt;0,'Patient Acquisition'!E35/E38,0)</f>
        <v>0.1197119354879583</v>
      </c>
      <c r="F60" s="245">
        <f>IF(F38&gt;0,'Patient Acquisition'!F35/F38,0)</f>
        <v>0.12491487626235613</v>
      </c>
      <c r="G60" s="245">
        <f>IF(G38&gt;0,'Patient Acquisition'!G35/G38,0)</f>
        <v>0.14780064407547394</v>
      </c>
      <c r="H60" s="245">
        <f>IF(H38&gt;0,'Patient Acquisition'!H35/H38,0)</f>
        <v>0.1593659048506762</v>
      </c>
      <c r="I60" s="245">
        <f>IF(I38&gt;0,'Patient Acquisition'!I35/I38,0)</f>
        <v>0.10888131323606705</v>
      </c>
      <c r="J60" s="245">
        <f>IF(J38&gt;0,'Patient Acquisition'!J35/J38,0)</f>
        <v>8.8788960612156201E-2</v>
      </c>
      <c r="K60" s="245">
        <f>IF(K38&gt;0,'Patient Acquisition'!K35/K38,0)</f>
        <v>6.8329946928478227E-2</v>
      </c>
    </row>
    <row r="61" spans="1:12" ht="15" customHeight="1" x14ac:dyDescent="0.2">
      <c r="A61" s="93" t="s">
        <v>614</v>
      </c>
      <c r="B61" s="94">
        <f>IF('Patient Acquisition'!B85&gt;0,'Patient Acquisition'!B35/'Patient Acquisition'!B85,0)</f>
        <v>0.60420858984300196</v>
      </c>
      <c r="C61" s="94">
        <f>IF('Patient Acquisition'!C85&gt;0,'Patient Acquisition'!C35/'Patient Acquisition'!C85,0)</f>
        <v>0.32271633262234767</v>
      </c>
      <c r="D61" s="94">
        <f>IF('Patient Acquisition'!D85&gt;0,'Patient Acquisition'!D35/'Patient Acquisition'!D85,0)</f>
        <v>0.32079457983703796</v>
      </c>
      <c r="E61" s="94">
        <f>IF('Patient Acquisition'!E85&gt;0,'Patient Acquisition'!E35/'Patient Acquisition'!E85,0)</f>
        <v>0.21608652615154927</v>
      </c>
      <c r="F61" s="94">
        <f>IF('Patient Acquisition'!F85&gt;0,'Patient Acquisition'!F35/'Patient Acquisition'!F85,0)</f>
        <v>0.20444333267161399</v>
      </c>
      <c r="G61" s="94">
        <f>IF('Patient Acquisition'!G85&gt;0,'Patient Acquisition'!G35/'Patient Acquisition'!G85,0)</f>
        <v>0.21691300824821971</v>
      </c>
      <c r="H61" s="94">
        <f>IF('Patient Acquisition'!H85&gt;0,'Patient Acquisition'!H35/'Patient Acquisition'!H85,0)</f>
        <v>0.21626220539092203</v>
      </c>
      <c r="I61" s="94">
        <f>IF('Patient Acquisition'!I85&gt;0,'Patient Acquisition'!I35/'Patient Acquisition'!I85,0)</f>
        <v>0.14775376796156497</v>
      </c>
      <c r="J61" s="94">
        <f>IF('Patient Acquisition'!J85&gt;0,'Patient Acquisition'!J35/'Patient Acquisition'!J85,0)</f>
        <v>0.12048810850943525</v>
      </c>
      <c r="K61" s="94">
        <f>IF('Patient Acquisition'!K85&gt;0,'Patient Acquisition'!K35/'Patient Acquisition'!K85,0)</f>
        <v>9.2724883850428291E-2</v>
      </c>
    </row>
    <row r="62" spans="1:12" ht="15" customHeight="1" x14ac:dyDescent="0.2"/>
    <row r="63" spans="1:12" ht="15" customHeight="1" x14ac:dyDescent="0.2">
      <c r="A63" s="449" t="s">
        <v>615</v>
      </c>
      <c r="B63" s="190"/>
      <c r="C63" s="190"/>
      <c r="D63" s="190"/>
      <c r="E63" s="190"/>
      <c r="F63" s="190"/>
      <c r="G63" s="190"/>
      <c r="H63" s="190"/>
      <c r="I63" s="190"/>
      <c r="J63" s="190"/>
      <c r="K63" s="190"/>
    </row>
    <row r="64" spans="1:12" ht="15" customHeight="1" x14ac:dyDescent="0.2">
      <c r="A64" s="450" t="s">
        <v>286</v>
      </c>
      <c r="B64" s="454" t="s">
        <v>566</v>
      </c>
      <c r="C64" s="454" t="s">
        <v>567</v>
      </c>
      <c r="D64" s="454" t="s">
        <v>568</v>
      </c>
      <c r="E64" s="454" t="s">
        <v>569</v>
      </c>
      <c r="F64" s="454" t="s">
        <v>570</v>
      </c>
      <c r="G64" s="454" t="s">
        <v>571</v>
      </c>
      <c r="H64" s="454" t="s">
        <v>572</v>
      </c>
      <c r="I64" s="454" t="s">
        <v>573</v>
      </c>
      <c r="J64" s="454" t="s">
        <v>574</v>
      </c>
      <c r="K64" s="454" t="s">
        <v>575</v>
      </c>
      <c r="L64" s="454" t="s">
        <v>142</v>
      </c>
    </row>
    <row r="65" spans="1:12" x14ac:dyDescent="0.2">
      <c r="A65" s="406" t="s">
        <v>616</v>
      </c>
      <c r="B65" s="446">
        <f>IFERROR('Patient Acquisition'!B55/(Assumptions!$B$15*Assumptions!$H$31),0)</f>
        <v>4.6482655826558261</v>
      </c>
      <c r="C65" s="446">
        <f>IFERROR('Patient Acquisition'!C55/(Assumptions!$B$15*Assumptions!$H$31),0)</f>
        <v>7.3682113821138193</v>
      </c>
      <c r="D65" s="446">
        <f>IFERROR('Patient Acquisition'!D55/(Assumptions!$B$15*Assumptions!$H$31),0)</f>
        <v>10.088157181571814</v>
      </c>
      <c r="E65" s="446">
        <f>IFERROR('Patient Acquisition'!E55/(Assumptions!$B$15*Assumptions!$H$31),0)</f>
        <v>11.245149051490513</v>
      </c>
      <c r="F65" s="446">
        <f>IFERROR('Patient Acquisition'!F55/(Assumptions!$B$15*Assumptions!$H$31),0)</f>
        <v>12.402140921409211</v>
      </c>
      <c r="G65" s="446">
        <f>IFERROR('Patient Acquisition'!G55/(Assumptions!$B$15*Assumptions!$H$31),0)</f>
        <v>13.965094850948507</v>
      </c>
      <c r="H65" s="446">
        <f>IFERROR('Patient Acquisition'!H55/(Assumptions!$B$15*Assumptions!$H$31),0)</f>
        <v>15.507750677506772</v>
      </c>
      <c r="I65" s="446">
        <f>IFERROR('Patient Acquisition'!I55/(Assumptions!$B$15*Assumptions!$H$31),0)</f>
        <v>15.507750677506769</v>
      </c>
      <c r="J65" s="446">
        <f>IFERROR('Patient Acquisition'!J55/(Assumptions!$B$15*Assumptions!$H$31),0)</f>
        <v>15.507750677506772</v>
      </c>
      <c r="K65" s="446">
        <f>IFERROR('Patient Acquisition'!K55/(Assumptions!$B$15*Assumptions!$H$31),0)</f>
        <v>15.507750677506772</v>
      </c>
      <c r="L65">
        <f>Assumptions!H31</f>
        <v>6</v>
      </c>
    </row>
    <row r="66" spans="1:12" x14ac:dyDescent="0.2">
      <c r="A66" s="406" t="s">
        <v>617</v>
      </c>
      <c r="B66" s="446">
        <f>IFERROR('Patient Acquisition'!B61/(Assumptions!$B$15*Assumptions!$H$32),0)</f>
        <v>1.4940853658536584</v>
      </c>
      <c r="C66" s="446">
        <f>IFERROR('Patient Acquisition'!C61/(Assumptions!$B$15*Assumptions!$H$32),0)</f>
        <v>2.3683536585365847</v>
      </c>
      <c r="D66" s="446">
        <f>IFERROR('Patient Acquisition'!D61/(Assumptions!$B$15*Assumptions!$H$32),0)</f>
        <v>3.2426219512195114</v>
      </c>
      <c r="E66" s="446">
        <f>IFERROR('Patient Acquisition'!E61/(Assumptions!$B$15*Assumptions!$H$32),0)</f>
        <v>3.6145121951219501</v>
      </c>
      <c r="F66" s="446">
        <f>IFERROR('Patient Acquisition'!F61/(Assumptions!$B$15*Assumptions!$H$32),0)</f>
        <v>3.9864024390243893</v>
      </c>
      <c r="G66" s="446">
        <f>IFERROR('Patient Acquisition'!G61/(Assumptions!$B$15*Assumptions!$H$32),0)</f>
        <v>4.4887804878048767</v>
      </c>
      <c r="H66" s="446">
        <f>IFERROR('Patient Acquisition'!H61/(Assumptions!$B$15*Assumptions!$H$32),0)</f>
        <v>4.8150000000000004</v>
      </c>
      <c r="I66" s="446">
        <f>IFERROR('Patient Acquisition'!I61/(Assumptions!$B$15*Assumptions!$H$32),0)</f>
        <v>4.8150000000000004</v>
      </c>
      <c r="J66" s="446">
        <f>IFERROR('Patient Acquisition'!J61/(Assumptions!$B$15*Assumptions!$H$32),0)</f>
        <v>4.8150000000000004</v>
      </c>
      <c r="K66" s="446">
        <f>IFERROR('Patient Acquisition'!K61/(Assumptions!$B$15*Assumptions!$H$32),0)</f>
        <v>4.8150000000000004</v>
      </c>
      <c r="L66">
        <f>Assumptions!H32</f>
        <v>4</v>
      </c>
    </row>
    <row r="67" spans="1:12" x14ac:dyDescent="0.2">
      <c r="A67" s="406" t="s">
        <v>618</v>
      </c>
      <c r="B67" s="446">
        <f>IFERROR(('Patient Acquisition'!B67+'Patient Acquisition'!B73)/(Assumptions!$B$15*Assumptions!$H$34),0)</f>
        <v>0.39842276422764222</v>
      </c>
      <c r="C67" s="446">
        <f>IFERROR(('Patient Acquisition'!C67+'Patient Acquisition'!C73)/(Assumptions!$B$15*Assumptions!$H$34),0)</f>
        <v>0.63156097560975599</v>
      </c>
      <c r="D67" s="446">
        <f>IFERROR(('Patient Acquisition'!D67+'Patient Acquisition'!D73)/(Assumptions!$B$15*Assumptions!$H$34),0)</f>
        <v>0.86469918699186965</v>
      </c>
      <c r="E67" s="446">
        <f>IFERROR(('Patient Acquisition'!E67+'Patient Acquisition'!E73)/(Assumptions!$B$15*Assumptions!$H$34),0)</f>
        <v>0.96386991869918681</v>
      </c>
      <c r="F67" s="446">
        <f>IFERROR(('Patient Acquisition'!F67+'Patient Acquisition'!F73)/(Assumptions!$B$15*Assumptions!$H$34),0)</f>
        <v>1.063040650406504</v>
      </c>
      <c r="G67" s="446">
        <f>IFERROR(('Patient Acquisition'!G67+'Patient Acquisition'!G73)/(Assumptions!$B$15*Assumptions!$H$34),0)</f>
        <v>1.1970081300813005</v>
      </c>
      <c r="H67" s="446">
        <f>IFERROR(('Patient Acquisition'!H67+'Patient Acquisition'!H73)/(Assumptions!$B$15*Assumptions!$H$34),0)</f>
        <v>1.3292357723577233</v>
      </c>
      <c r="I67" s="446">
        <f>IFERROR(('Patient Acquisition'!I67+'Patient Acquisition'!I73)/(Assumptions!$B$15*Assumptions!$H$34),0)</f>
        <v>1.3292357723577231</v>
      </c>
      <c r="J67" s="446">
        <f>IFERROR(('Patient Acquisition'!J67+'Patient Acquisition'!J73)/(Assumptions!$B$15*Assumptions!$H$34),0)</f>
        <v>1.3292357723577233</v>
      </c>
      <c r="K67" s="446">
        <f>IFERROR(('Patient Acquisition'!K67+'Patient Acquisition'!K73)/(Assumptions!$B$15*Assumptions!$H$34),0)</f>
        <v>1.3292357723577233</v>
      </c>
      <c r="L67">
        <f>Assumptions!H34</f>
        <v>10</v>
      </c>
    </row>
    <row r="68" spans="1:12" x14ac:dyDescent="0.2">
      <c r="A68" s="406" t="s">
        <v>619</v>
      </c>
      <c r="B68" s="446">
        <f>IFERROR('Patient Acquisition'!B79/(Assumptions!$B$15*Assumptions!$H$33),0)</f>
        <v>1.8593062330623307</v>
      </c>
      <c r="C68" s="446">
        <f>IFERROR('Patient Acquisition'!C79/(Assumptions!$B$15*Assumptions!$H$33),0)</f>
        <v>2.9472845528455278</v>
      </c>
      <c r="D68" s="446">
        <f>IFERROR('Patient Acquisition'!D79/(Assumptions!$B$15*Assumptions!$H$33),0)</f>
        <v>4.0352628726287261</v>
      </c>
      <c r="E68" s="446">
        <f>IFERROR('Patient Acquisition'!E79/(Assumptions!$B$15*Assumptions!$H$33),0)</f>
        <v>4.4980596205962051</v>
      </c>
      <c r="F68" s="446">
        <f>IFERROR('Patient Acquisition'!F79/(Assumptions!$B$15*Assumptions!$H$33),0)</f>
        <v>4.9608563685636851</v>
      </c>
      <c r="G68" s="446">
        <f>IFERROR('Patient Acquisition'!G79/(Assumptions!$B$15*Assumptions!$H$33),0)</f>
        <v>5.35</v>
      </c>
      <c r="H68" s="446">
        <f>IFERROR('Patient Acquisition'!H79/(Assumptions!$B$15*Assumptions!$H$33),0)</f>
        <v>5.35</v>
      </c>
      <c r="I68" s="446">
        <f>IFERROR('Patient Acquisition'!I79/(Assumptions!$B$15*Assumptions!$H$33),0)</f>
        <v>5.35</v>
      </c>
      <c r="J68" s="446">
        <f>IFERROR('Patient Acquisition'!J79/(Assumptions!$B$15*Assumptions!$H$33),0)</f>
        <v>5.35</v>
      </c>
      <c r="K68" s="446">
        <f>IFERROR('Patient Acquisition'!K79/(Assumptions!$B$15*Assumptions!$H$33),0)</f>
        <v>5.35</v>
      </c>
      <c r="L68">
        <f>Assumptions!H33</f>
        <v>6</v>
      </c>
    </row>
    <row r="69" spans="1:12" x14ac:dyDescent="0.2">
      <c r="A69" s="451" t="s">
        <v>620</v>
      </c>
      <c r="B69" s="455">
        <f t="shared" ref="B69:K69" si="4">SUM(B65:B68)</f>
        <v>8.4000799457994582</v>
      </c>
      <c r="C69" s="455">
        <f t="shared" si="4"/>
        <v>13.315410569105687</v>
      </c>
      <c r="D69" s="455">
        <f t="shared" si="4"/>
        <v>18.230741192411919</v>
      </c>
      <c r="E69" s="455">
        <f t="shared" si="4"/>
        <v>20.321590785907855</v>
      </c>
      <c r="F69" s="455">
        <f t="shared" si="4"/>
        <v>22.41244037940379</v>
      </c>
      <c r="G69" s="455">
        <f t="shared" si="4"/>
        <v>25.000883468834687</v>
      </c>
      <c r="H69" s="455">
        <f t="shared" si="4"/>
        <v>27.001986449864496</v>
      </c>
      <c r="I69" s="455">
        <f t="shared" si="4"/>
        <v>27.001986449864489</v>
      </c>
      <c r="J69" s="455">
        <f t="shared" si="4"/>
        <v>27.001986449864496</v>
      </c>
      <c r="K69" s="455">
        <f t="shared" si="4"/>
        <v>27.001986449864496</v>
      </c>
    </row>
    <row r="70" spans="1:12" x14ac:dyDescent="0.2">
      <c r="A70" s="452" t="s">
        <v>621</v>
      </c>
      <c r="B70" s="456">
        <f>Assumptions!C183</f>
        <v>20</v>
      </c>
      <c r="C70" s="456">
        <f>Assumptions!D183</f>
        <v>21</v>
      </c>
      <c r="D70" s="456">
        <f>Assumptions!E183</f>
        <v>26</v>
      </c>
      <c r="E70" s="456">
        <f>Assumptions!F183</f>
        <v>29</v>
      </c>
      <c r="F70" s="456">
        <f>Assumptions!G183</f>
        <v>31</v>
      </c>
      <c r="G70" s="456">
        <f>Assumptions!H183</f>
        <v>35</v>
      </c>
      <c r="H70" s="456">
        <f>Assumptions!I183</f>
        <v>36</v>
      </c>
      <c r="I70" s="456">
        <f>Assumptions!J183</f>
        <v>36</v>
      </c>
      <c r="J70" s="456">
        <f>Assumptions!K183</f>
        <v>36</v>
      </c>
      <c r="K70" s="456">
        <f>Assumptions!L183</f>
        <v>37</v>
      </c>
    </row>
    <row r="72" spans="1:12" x14ac:dyDescent="0.2">
      <c r="A72" s="453" t="s">
        <v>622</v>
      </c>
      <c r="B72" s="457">
        <f t="shared" ref="B72:K72" si="5">B70-B69</f>
        <v>11.599920054200542</v>
      </c>
      <c r="C72" s="457">
        <f t="shared" si="5"/>
        <v>7.684589430894313</v>
      </c>
      <c r="D72" s="457">
        <f t="shared" si="5"/>
        <v>7.7692588075880806</v>
      </c>
      <c r="E72" s="457">
        <f t="shared" si="5"/>
        <v>8.6784092140921452</v>
      </c>
      <c r="F72" s="457">
        <f t="shared" si="5"/>
        <v>8.5875596205962097</v>
      </c>
      <c r="G72" s="457">
        <f t="shared" si="5"/>
        <v>9.9991165311653134</v>
      </c>
      <c r="H72" s="457">
        <f t="shared" si="5"/>
        <v>8.9980135501355036</v>
      </c>
      <c r="I72" s="457">
        <f t="shared" si="5"/>
        <v>8.9980135501355107</v>
      </c>
      <c r="J72" s="457">
        <f t="shared" si="5"/>
        <v>8.9980135501355036</v>
      </c>
      <c r="K72" s="457">
        <f t="shared" si="5"/>
        <v>9.9980135501355036</v>
      </c>
    </row>
  </sheetData>
  <conditionalFormatting sqref="B41:K41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K41"/>
  <sheetViews>
    <sheetView zoomScale="150" zoomScaleNormal="100" workbookViewId="0">
      <selection activeCell="B13" sqref="B13"/>
    </sheetView>
  </sheetViews>
  <sheetFormatPr baseColWidth="10" defaultColWidth="8.6640625" defaultRowHeight="15" x14ac:dyDescent="0.2"/>
  <cols>
    <col min="1" max="1" width="42" customWidth="1"/>
    <col min="2" max="11" width="14" customWidth="1"/>
  </cols>
  <sheetData>
    <row r="1" spans="1:11" ht="27.75" customHeight="1" x14ac:dyDescent="0.2">
      <c r="A1" s="677" t="s">
        <v>623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3" spans="1:11" ht="21.75" customHeight="1" x14ac:dyDescent="0.2">
      <c r="A3" s="253" t="s">
        <v>624</v>
      </c>
      <c r="B3" s="254" t="s">
        <v>23</v>
      </c>
      <c r="C3" s="254" t="s">
        <v>24</v>
      </c>
      <c r="D3" s="254" t="s">
        <v>25</v>
      </c>
      <c r="E3" s="254" t="s">
        <v>26</v>
      </c>
      <c r="F3" s="254" t="s">
        <v>27</v>
      </c>
      <c r="G3" s="254" t="s">
        <v>28</v>
      </c>
      <c r="H3" s="254" t="s">
        <v>29</v>
      </c>
      <c r="I3" s="254" t="s">
        <v>30</v>
      </c>
      <c r="J3" s="254" t="s">
        <v>31</v>
      </c>
      <c r="K3" s="254" t="s">
        <v>32</v>
      </c>
    </row>
    <row r="4" spans="1:11" ht="15" customHeight="1" x14ac:dyDescent="0.2">
      <c r="A4" s="256" t="s">
        <v>625</v>
      </c>
      <c r="B4" s="95"/>
      <c r="C4" s="95"/>
      <c r="D4" s="95"/>
      <c r="E4" s="95"/>
      <c r="F4" s="95"/>
      <c r="G4" s="95"/>
      <c r="H4" s="95"/>
      <c r="I4" s="95"/>
      <c r="J4" s="95"/>
      <c r="K4" s="95"/>
    </row>
    <row r="5" spans="1:11" ht="15" customHeight="1" x14ac:dyDescent="0.2">
      <c r="A5" s="210" t="s">
        <v>175</v>
      </c>
      <c r="B5" s="2">
        <f>Revenue!B8</f>
        <v>4349400</v>
      </c>
      <c r="C5" s="2">
        <f>Revenue!C8</f>
        <v>7153536</v>
      </c>
      <c r="D5" s="2">
        <f>Revenue!D8</f>
        <v>10192565.760000002</v>
      </c>
      <c r="E5" s="2">
        <f>Revenue!E8</f>
        <v>11819845.939200003</v>
      </c>
      <c r="F5" s="2">
        <f>Revenue!F8</f>
        <v>13554683.191296</v>
      </c>
      <c r="G5" s="2">
        <f>Revenue!G8</f>
        <v>15884620.293734403</v>
      </c>
      <c r="H5" s="2">
        <f>Revenue!H8</f>
        <v>18339786.91788473</v>
      </c>
      <c r="I5" s="2">
        <f>Revenue!I8</f>
        <v>19073378.394600119</v>
      </c>
      <c r="J5" s="2">
        <f>Revenue!J8</f>
        <v>19836313.530384123</v>
      </c>
      <c r="K5" s="2">
        <f>Revenue!K8</f>
        <v>20629766.071599487</v>
      </c>
    </row>
    <row r="6" spans="1:11" ht="15" customHeight="1" x14ac:dyDescent="0.2">
      <c r="A6" s="210" t="s">
        <v>453</v>
      </c>
      <c r="B6" s="2">
        <f>Revenue!B9</f>
        <v>1173000</v>
      </c>
      <c r="C6" s="2">
        <f>Revenue!C9</f>
        <v>1888224</v>
      </c>
      <c r="D6" s="2">
        <f>Revenue!D9</f>
        <v>2680204.8000000003</v>
      </c>
      <c r="E6" s="2">
        <f>Revenue!E9</f>
        <v>3152543.8464000002</v>
      </c>
      <c r="F6" s="2">
        <f>Revenue!F9</f>
        <v>3573449.9573760009</v>
      </c>
      <c r="G6" s="2">
        <f>Revenue!G9</f>
        <v>4214242.3233331209</v>
      </c>
      <c r="H6" s="2">
        <f>Revenue!H9</f>
        <v>4690284.5377609739</v>
      </c>
      <c r="I6" s="2">
        <f>Revenue!I9</f>
        <v>4877895.9192714132</v>
      </c>
      <c r="J6" s="2">
        <f>Revenue!J9</f>
        <v>5073011.75604227</v>
      </c>
      <c r="K6" s="2">
        <f>Revenue!K9</f>
        <v>5275932.226283961</v>
      </c>
    </row>
    <row r="7" spans="1:11" ht="15" customHeight="1" x14ac:dyDescent="0.2">
      <c r="A7" s="210" t="s">
        <v>456</v>
      </c>
      <c r="B7" s="2">
        <f>Revenue!B10</f>
        <v>816000</v>
      </c>
      <c r="C7" s="2">
        <f>Revenue!C10</f>
        <v>1334112</v>
      </c>
      <c r="D7" s="2">
        <f>Revenue!D10</f>
        <v>1914432.0000000005</v>
      </c>
      <c r="E7" s="2">
        <f>Revenue!E10</f>
        <v>2212382.5152000003</v>
      </c>
      <c r="F7" s="2">
        <f>Revenue!F10</f>
        <v>2536721.3015040006</v>
      </c>
      <c r="G7" s="2">
        <f>Revenue!G10</f>
        <v>2978366.3050752012</v>
      </c>
      <c r="H7" s="2">
        <f>Revenue!H10</f>
        <v>3434581.9438055432</v>
      </c>
      <c r="I7" s="2">
        <f>Revenue!I10</f>
        <v>3571965.2215577653</v>
      </c>
      <c r="J7" s="2">
        <f>Revenue!J10</f>
        <v>3714843.8304200759</v>
      </c>
      <c r="K7" s="2">
        <f>Revenue!K10</f>
        <v>3863437.5836368795</v>
      </c>
    </row>
    <row r="8" spans="1:11" ht="15" customHeight="1" x14ac:dyDescent="0.2">
      <c r="A8" s="210" t="s">
        <v>149</v>
      </c>
      <c r="B8" s="2">
        <f>Revenue!B11</f>
        <v>1306800</v>
      </c>
      <c r="C8" s="2">
        <f>Revenue!C11</f>
        <v>2150928</v>
      </c>
      <c r="D8" s="2">
        <f>Revenue!D11</f>
        <v>3066336.0000000005</v>
      </c>
      <c r="E8" s="2">
        <f>Revenue!E11</f>
        <v>3553445.3760000002</v>
      </c>
      <c r="F8" s="2">
        <f>Revenue!F11</f>
        <v>4074617.3644800009</v>
      </c>
      <c r="G8" s="2">
        <f>Revenue!G11</f>
        <v>4572668.2683801614</v>
      </c>
      <c r="H8" s="2">
        <f>Revenue!H11</f>
        <v>4755574.9991153674</v>
      </c>
      <c r="I8" s="2">
        <f>Revenue!I11</f>
        <v>4945797.9990799828</v>
      </c>
      <c r="J8" s="2">
        <f>Revenue!J11</f>
        <v>5143629.9190431824</v>
      </c>
      <c r="K8" s="2">
        <f>Revenue!K11</f>
        <v>5349375.1158049097</v>
      </c>
    </row>
    <row r="9" spans="1:11" ht="15" customHeight="1" x14ac:dyDescent="0.2">
      <c r="A9" s="210" t="s">
        <v>560</v>
      </c>
      <c r="B9" s="2">
        <f>Revenue!B12</f>
        <v>0</v>
      </c>
      <c r="C9" s="2">
        <f>Revenue!C12</f>
        <v>0</v>
      </c>
      <c r="D9" s="2">
        <f>Revenue!D12</f>
        <v>0</v>
      </c>
      <c r="E9" s="2">
        <f>Revenue!E12</f>
        <v>0</v>
      </c>
      <c r="F9" s="2">
        <f>Revenue!F12</f>
        <v>0</v>
      </c>
      <c r="G9" s="2">
        <f>Revenue!G12</f>
        <v>0</v>
      </c>
      <c r="H9" s="2">
        <f>Revenue!H12</f>
        <v>0</v>
      </c>
      <c r="I9" s="2">
        <f>Revenue!I12</f>
        <v>0</v>
      </c>
      <c r="J9" s="2">
        <f>Revenue!J12</f>
        <v>0</v>
      </c>
      <c r="K9" s="2">
        <f>Revenue!K12</f>
        <v>0</v>
      </c>
    </row>
    <row r="10" spans="1:11" ht="15" customHeight="1" x14ac:dyDescent="0.2">
      <c r="A10" s="87" t="s">
        <v>626</v>
      </c>
      <c r="B10" s="88">
        <f t="shared" ref="B10:K10" si="0">SUM(B5:B9)</f>
        <v>7645200</v>
      </c>
      <c r="C10" s="88">
        <f t="shared" si="0"/>
        <v>12526800</v>
      </c>
      <c r="D10" s="88">
        <f t="shared" si="0"/>
        <v>17853538.560000002</v>
      </c>
      <c r="E10" s="88">
        <f t="shared" si="0"/>
        <v>20738217.676800005</v>
      </c>
      <c r="F10" s="88">
        <f t="shared" si="0"/>
        <v>23739471.814656001</v>
      </c>
      <c r="G10" s="88">
        <f t="shared" si="0"/>
        <v>27649897.190522887</v>
      </c>
      <c r="H10" s="88">
        <f t="shared" si="0"/>
        <v>31220228.398566611</v>
      </c>
      <c r="I10" s="88">
        <f t="shared" si="0"/>
        <v>32469037.534509283</v>
      </c>
      <c r="J10" s="88">
        <f t="shared" si="0"/>
        <v>33767799.035889655</v>
      </c>
      <c r="K10" s="88">
        <f t="shared" si="0"/>
        <v>35118510.997325234</v>
      </c>
    </row>
    <row r="11" spans="1:11" ht="15" customHeight="1" x14ac:dyDescent="0.2">
      <c r="A11" s="181"/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1:11" ht="15" customHeight="1" x14ac:dyDescent="0.2">
      <c r="A12" s="96" t="s">
        <v>627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</row>
    <row r="13" spans="1:11" ht="15" customHeight="1" x14ac:dyDescent="0.2">
      <c r="A13" s="210" t="s">
        <v>175</v>
      </c>
      <c r="B13" s="98">
        <f>IFERROR(B5/Assumptions!B242,0)</f>
        <v>14498000</v>
      </c>
      <c r="C13" s="98">
        <f>IFERROR(C5/Assumptions!C242,0)</f>
        <v>10735552.98370279</v>
      </c>
      <c r="D13" s="98">
        <f>IFERROR(D5/Assumptions!D242,0)</f>
        <v>11672413.072528634</v>
      </c>
      <c r="E13" s="98">
        <f>IFERROR(E5/Assumptions!E242,0)</f>
        <v>14571921.138309937</v>
      </c>
      <c r="F13" s="98">
        <f>IFERROR(F5/Assumptions!F242,0)</f>
        <v>16594778.632108111</v>
      </c>
      <c r="G13" s="98">
        <f>IFERROR(G5/Assumptions!G242,0)</f>
        <v>18397124.622959621</v>
      </c>
      <c r="H13" s="98">
        <f>IFERROR(H5/Assumptions!H242,0)</f>
        <v>21274673.306050416</v>
      </c>
      <c r="I13" s="98">
        <f>IFERROR(I5/Assumptions!I242,0)</f>
        <v>22734623.364117</v>
      </c>
      <c r="J13" s="98">
        <f>IFERROR(J5/Assumptions!J242,0)</f>
        <v>23644008.298681673</v>
      </c>
      <c r="K13" s="98">
        <f>IFERROR(K5/Assumptions!K242,0)</f>
        <v>24589768.63062894</v>
      </c>
    </row>
    <row r="14" spans="1:11" ht="15" customHeight="1" x14ac:dyDescent="0.2">
      <c r="A14" s="210" t="s">
        <v>453</v>
      </c>
      <c r="B14" s="98">
        <f>IFERROR(B6/Assumptions!B242,0)</f>
        <v>3910000</v>
      </c>
      <c r="C14" s="98">
        <f>IFERROR(C6/Assumptions!C242,0)</f>
        <v>2833721.5045956597</v>
      </c>
      <c r="D14" s="98">
        <f>IFERROR(D6/Assumptions!D242,0)</f>
        <v>3069340.7608266431</v>
      </c>
      <c r="E14" s="98">
        <f>IFERROR(E6/Assumptions!E242,0)</f>
        <v>3886566.7582393484</v>
      </c>
      <c r="F14" s="98">
        <f>IFERROR(F6/Assumptions!F242,0)</f>
        <v>4374916.7840123465</v>
      </c>
      <c r="G14" s="98">
        <f>IFERROR(G6/Assumptions!G242,0)</f>
        <v>4880818.0353100132</v>
      </c>
      <c r="H14" s="98">
        <f>IFERROR(H6/Assumptions!H242,0)</f>
        <v>5440863.173605144</v>
      </c>
      <c r="I14" s="98">
        <f>IFERROR(I6/Assumptions!I242,0)</f>
        <v>5814236.1693718098</v>
      </c>
      <c r="J14" s="98">
        <f>IFERROR(J6/Assumptions!J242,0)</f>
        <v>6046805.6161466818</v>
      </c>
      <c r="K14" s="98">
        <f>IFERROR(K6/Assumptions!K242,0)</f>
        <v>6288677.8407925488</v>
      </c>
    </row>
    <row r="15" spans="1:11" ht="15" customHeight="1" x14ac:dyDescent="0.2">
      <c r="A15" s="210" t="s">
        <v>456</v>
      </c>
      <c r="B15" s="98">
        <f>IFERROR(B7/Assumptions!B242,0)</f>
        <v>2720000</v>
      </c>
      <c r="C15" s="98">
        <f>IFERROR(C7/Assumptions!C242,0)</f>
        <v>2002146.9189773696</v>
      </c>
      <c r="D15" s="98">
        <f>IFERROR(D7/Assumptions!D242,0)</f>
        <v>2192386.2577333166</v>
      </c>
      <c r="E15" s="98">
        <f>IFERROR(E7/Assumptions!E242,0)</f>
        <v>2727502.8545297761</v>
      </c>
      <c r="F15" s="98">
        <f>IFERROR(F7/Assumptions!F242,0)</f>
        <v>3105666.7172305281</v>
      </c>
      <c r="G15" s="98">
        <f>IFERROR(G7/Assumptions!G242,0)</f>
        <v>3449460.8668049295</v>
      </c>
      <c r="H15" s="98">
        <f>IFERROR(H7/Assumptions!H242,0)</f>
        <v>3984212.527903799</v>
      </c>
      <c r="I15" s="98">
        <f>IFERROR(I7/Assumptions!I242,0)</f>
        <v>4257624.5435801335</v>
      </c>
      <c r="J15" s="98">
        <f>IFERROR(J7/Assumptions!J242,0)</f>
        <v>4427929.5253233388</v>
      </c>
      <c r="K15" s="98">
        <f>IFERROR(K7/Assumptions!K242,0)</f>
        <v>4605046.7063362729</v>
      </c>
    </row>
    <row r="16" spans="1:11" ht="15" customHeight="1" x14ac:dyDescent="0.2">
      <c r="A16" s="210" t="s">
        <v>149</v>
      </c>
      <c r="B16" s="98">
        <f>IFERROR(B8/Assumptions!B242,0)</f>
        <v>4356000</v>
      </c>
      <c r="C16" s="98">
        <f>IFERROR(C8/Assumptions!C242,0)</f>
        <v>3227970.2664709976</v>
      </c>
      <c r="D16" s="98">
        <f>IFERROR(D8/Assumptions!D242,0)</f>
        <v>3511533.9212847189</v>
      </c>
      <c r="E16" s="98">
        <f>IFERROR(E8/Assumptions!E242,0)</f>
        <v>4380812.2419460863</v>
      </c>
      <c r="F16" s="98">
        <f>IFERROR(F8/Assumptions!F242,0)</f>
        <v>4988487.9063428929</v>
      </c>
      <c r="G16" s="98">
        <f>IFERROR(G8/Assumptions!G242,0)</f>
        <v>5295936.9778593322</v>
      </c>
      <c r="H16" s="98">
        <f>IFERROR(H8/Assumptions!H242,0)</f>
        <v>5516601.9617129527</v>
      </c>
      <c r="I16" s="98">
        <f>IFERROR(I8/Assumptions!I242,0)</f>
        <v>5895172.4449571082</v>
      </c>
      <c r="J16" s="98">
        <f>IFERROR(J8/Assumptions!J242,0)</f>
        <v>6130979.3427553922</v>
      </c>
      <c r="K16" s="98">
        <f>IFERROR(K8/Assumptions!K242,0)</f>
        <v>6376218.516465608</v>
      </c>
    </row>
    <row r="17" spans="1:11" ht="15" customHeight="1" x14ac:dyDescent="0.2">
      <c r="A17" s="210" t="s">
        <v>560</v>
      </c>
      <c r="B17" s="98">
        <f>IFERROR(B9/Assumptions!B242,0)</f>
        <v>0</v>
      </c>
      <c r="C17" s="98">
        <f>IFERROR(C9/Assumptions!C242,0)</f>
        <v>0</v>
      </c>
      <c r="D17" s="98">
        <f>IFERROR(D9/Assumptions!D242,0)</f>
        <v>0</v>
      </c>
      <c r="E17" s="98">
        <f>IFERROR(E9/Assumptions!E242,0)</f>
        <v>0</v>
      </c>
      <c r="F17" s="98">
        <f>IFERROR(F9/Assumptions!F242,0)</f>
        <v>0</v>
      </c>
      <c r="G17" s="98">
        <f>IFERROR(G9/Assumptions!G242,0)</f>
        <v>0</v>
      </c>
      <c r="H17" s="98">
        <f>IFERROR(H9/Assumptions!H242,0)</f>
        <v>0</v>
      </c>
      <c r="I17" s="98">
        <f>IFERROR(I9/Assumptions!I242,0)</f>
        <v>0</v>
      </c>
      <c r="J17" s="98">
        <f>IFERROR(J9/Assumptions!J242,0)</f>
        <v>0</v>
      </c>
      <c r="K17" s="98">
        <f>IFERROR(K9/Assumptions!K242,0)</f>
        <v>0</v>
      </c>
    </row>
    <row r="18" spans="1:11" ht="15" customHeight="1" x14ac:dyDescent="0.2">
      <c r="A18" s="87" t="s">
        <v>628</v>
      </c>
      <c r="B18" s="88">
        <f t="shared" ref="B18:K18" si="1">SUM(B13:B17)</f>
        <v>25484000</v>
      </c>
      <c r="C18" s="88">
        <f t="shared" si="1"/>
        <v>18799391.673746817</v>
      </c>
      <c r="D18" s="88">
        <f t="shared" si="1"/>
        <v>20445674.012373313</v>
      </c>
      <c r="E18" s="88">
        <f t="shared" si="1"/>
        <v>25566802.993025146</v>
      </c>
      <c r="F18" s="88">
        <f t="shared" si="1"/>
        <v>29063850.039693881</v>
      </c>
      <c r="G18" s="88">
        <f t="shared" si="1"/>
        <v>32023340.502933897</v>
      </c>
      <c r="H18" s="88">
        <f t="shared" si="1"/>
        <v>36216350.969272316</v>
      </c>
      <c r="I18" s="88">
        <f t="shared" si="1"/>
        <v>38701656.522026055</v>
      </c>
      <c r="J18" s="88">
        <f t="shared" si="1"/>
        <v>40249722.782907084</v>
      </c>
      <c r="K18" s="88">
        <f t="shared" si="1"/>
        <v>41859711.694223374</v>
      </c>
    </row>
    <row r="19" spans="1:11" ht="15" customHeight="1" x14ac:dyDescent="0.2">
      <c r="A19" s="30" t="s">
        <v>629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</row>
    <row r="20" spans="1:11" ht="15" customHeight="1" x14ac:dyDescent="0.2">
      <c r="A20" s="256" t="s">
        <v>630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</row>
    <row r="21" spans="1:11" ht="15" customHeight="1" x14ac:dyDescent="0.2">
      <c r="A21" s="87" t="s">
        <v>631</v>
      </c>
      <c r="B21" s="88">
        <f t="shared" ref="B21:K21" si="2">B18-B10</f>
        <v>17838800</v>
      </c>
      <c r="C21" s="88">
        <f t="shared" si="2"/>
        <v>6272591.6737468168</v>
      </c>
      <c r="D21" s="88">
        <f t="shared" si="2"/>
        <v>2592135.4523733109</v>
      </c>
      <c r="E21" s="88">
        <f t="shared" si="2"/>
        <v>4828585.3162251413</v>
      </c>
      <c r="F21" s="88">
        <f t="shared" si="2"/>
        <v>5324378.2250378802</v>
      </c>
      <c r="G21" s="88">
        <f t="shared" si="2"/>
        <v>4373443.3124110103</v>
      </c>
      <c r="H21" s="88">
        <f t="shared" si="2"/>
        <v>4996122.5707057044</v>
      </c>
      <c r="I21" s="88">
        <f t="shared" si="2"/>
        <v>6232618.987516772</v>
      </c>
      <c r="J21" s="88">
        <f t="shared" si="2"/>
        <v>6481923.7470174283</v>
      </c>
      <c r="K21" s="88">
        <f t="shared" si="2"/>
        <v>6741200.69689814</v>
      </c>
    </row>
    <row r="22" spans="1:11" ht="15" customHeight="1" x14ac:dyDescent="0.2">
      <c r="A22" s="87" t="s">
        <v>632</v>
      </c>
      <c r="B22" s="88">
        <f t="shared" ref="B22:K22" si="3">IF(B10&lt;&gt;0,(B18-B10)/B10,0)</f>
        <v>2.3333333333333335</v>
      </c>
      <c r="C22" s="88">
        <f t="shared" si="3"/>
        <v>0.50073376071676856</v>
      </c>
      <c r="D22" s="88">
        <f t="shared" si="3"/>
        <v>0.14518889035145482</v>
      </c>
      <c r="E22" s="88">
        <f t="shared" si="3"/>
        <v>0.23283511589459854</v>
      </c>
      <c r="F22" s="88">
        <f t="shared" si="3"/>
        <v>0.22428376952139167</v>
      </c>
      <c r="G22" s="88">
        <f t="shared" si="3"/>
        <v>0.15817213649206716</v>
      </c>
      <c r="H22" s="88">
        <f t="shared" si="3"/>
        <v>0.16002837989920302</v>
      </c>
      <c r="I22" s="88">
        <f t="shared" si="3"/>
        <v>0.1919557665019333</v>
      </c>
      <c r="J22" s="88">
        <f t="shared" si="3"/>
        <v>0.19195576650193286</v>
      </c>
      <c r="K22" s="88">
        <f t="shared" si="3"/>
        <v>0.19195576650193333</v>
      </c>
    </row>
    <row r="23" spans="1:11" ht="15" customHeight="1" x14ac:dyDescent="0.2">
      <c r="A23" s="222" t="s">
        <v>633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</row>
    <row r="24" spans="1:11" ht="15" customHeight="1" x14ac:dyDescent="0.2">
      <c r="A24" s="87" t="s">
        <v>634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</row>
    <row r="25" spans="1:11" ht="15" customHeight="1" x14ac:dyDescent="0.2">
      <c r="A25" s="210" t="s">
        <v>175</v>
      </c>
      <c r="B25" s="235">
        <f t="shared" ref="B25:K25" si="4">IF(B10&lt;&gt;0,B5/B10,0)</f>
        <v>0.56890598022288497</v>
      </c>
      <c r="C25" s="235">
        <f t="shared" si="4"/>
        <v>0.5710585305105853</v>
      </c>
      <c r="D25" s="235">
        <f t="shared" si="4"/>
        <v>0.57089891316200791</v>
      </c>
      <c r="E25" s="235">
        <f t="shared" si="4"/>
        <v>0.56995476291209679</v>
      </c>
      <c r="F25" s="235">
        <f t="shared" si="4"/>
        <v>0.57097661216404005</v>
      </c>
      <c r="G25" s="235">
        <f t="shared" si="4"/>
        <v>0.57449111598067426</v>
      </c>
      <c r="H25" s="235">
        <f t="shared" si="4"/>
        <v>0.5874328234807773</v>
      </c>
      <c r="I25" s="235">
        <f t="shared" si="4"/>
        <v>0.58743282348077719</v>
      </c>
      <c r="J25" s="235">
        <f t="shared" si="4"/>
        <v>0.58743282348077708</v>
      </c>
      <c r="K25" s="235">
        <f t="shared" si="4"/>
        <v>0.58743282348077719</v>
      </c>
    </row>
    <row r="26" spans="1:11" ht="15" customHeight="1" x14ac:dyDescent="0.2">
      <c r="A26" s="210" t="s">
        <v>453</v>
      </c>
      <c r="B26" s="235">
        <f t="shared" ref="B26:K26" si="5">IF(B10&lt;&gt;0,B6/B10,0)</f>
        <v>0.15342960288808663</v>
      </c>
      <c r="C26" s="235">
        <f t="shared" si="5"/>
        <v>0.15073474470734743</v>
      </c>
      <c r="D26" s="235">
        <f t="shared" si="5"/>
        <v>0.15012176947402855</v>
      </c>
      <c r="E26" s="235">
        <f t="shared" si="5"/>
        <v>0.15201614215510786</v>
      </c>
      <c r="F26" s="235">
        <f t="shared" si="5"/>
        <v>0.15052777859909527</v>
      </c>
      <c r="G26" s="235">
        <f t="shared" si="5"/>
        <v>0.15241439395939488</v>
      </c>
      <c r="H26" s="235">
        <f t="shared" si="5"/>
        <v>0.15023223013885173</v>
      </c>
      <c r="I26" s="235">
        <f t="shared" si="5"/>
        <v>0.15023223013885173</v>
      </c>
      <c r="J26" s="235">
        <f t="shared" si="5"/>
        <v>0.15023223013885173</v>
      </c>
      <c r="K26" s="235">
        <f t="shared" si="5"/>
        <v>0.15023223013885176</v>
      </c>
    </row>
    <row r="27" spans="1:11" ht="15" customHeight="1" x14ac:dyDescent="0.2">
      <c r="A27" s="210" t="s">
        <v>456</v>
      </c>
      <c r="B27" s="235">
        <f t="shared" ref="B27:K27" si="6">IF(B10&lt;&gt;0,B7/B10,0)</f>
        <v>0.10673363679171245</v>
      </c>
      <c r="C27" s="235">
        <f t="shared" si="6"/>
        <v>0.10650062266500622</v>
      </c>
      <c r="D27" s="235">
        <f t="shared" si="6"/>
        <v>0.10722983533859184</v>
      </c>
      <c r="E27" s="235">
        <f t="shared" si="6"/>
        <v>0.10668142024929214</v>
      </c>
      <c r="F27" s="235">
        <f t="shared" si="6"/>
        <v>0.10685668667395999</v>
      </c>
      <c r="G27" s="235">
        <f t="shared" si="6"/>
        <v>0.10771708424637645</v>
      </c>
      <c r="H27" s="235">
        <f t="shared" si="6"/>
        <v>0.1100114291272524</v>
      </c>
      <c r="I27" s="235">
        <f t="shared" si="6"/>
        <v>0.11001142912725238</v>
      </c>
      <c r="J27" s="235">
        <f t="shared" si="6"/>
        <v>0.11001142912725237</v>
      </c>
      <c r="K27" s="235">
        <f t="shared" si="6"/>
        <v>0.11001142912725241</v>
      </c>
    </row>
    <row r="28" spans="1:11" ht="15" customHeight="1" x14ac:dyDescent="0.2">
      <c r="A28" s="210" t="s">
        <v>149</v>
      </c>
      <c r="B28" s="235">
        <f t="shared" ref="B28:K28" si="7">IF(B10&lt;&gt;0,B8/B10,0)</f>
        <v>0.17093078009731597</v>
      </c>
      <c r="C28" s="235">
        <f t="shared" si="7"/>
        <v>0.17170610211706103</v>
      </c>
      <c r="D28" s="235">
        <f t="shared" si="7"/>
        <v>0.17174948202537169</v>
      </c>
      <c r="E28" s="235">
        <f t="shared" si="7"/>
        <v>0.17134767468350307</v>
      </c>
      <c r="F28" s="235">
        <f t="shared" si="7"/>
        <v>0.17163892256290475</v>
      </c>
      <c r="G28" s="235">
        <f t="shared" si="7"/>
        <v>0.1653774058135544</v>
      </c>
      <c r="H28" s="235">
        <f t="shared" si="7"/>
        <v>0.15232351725311868</v>
      </c>
      <c r="I28" s="235">
        <f t="shared" si="7"/>
        <v>0.15232351725311868</v>
      </c>
      <c r="J28" s="235">
        <f t="shared" si="7"/>
        <v>0.15232351725311868</v>
      </c>
      <c r="K28" s="235">
        <f t="shared" si="7"/>
        <v>0.15232351725311871</v>
      </c>
    </row>
    <row r="29" spans="1:11" ht="15" customHeight="1" x14ac:dyDescent="0.2">
      <c r="A29" s="210" t="s">
        <v>560</v>
      </c>
      <c r="B29" s="235">
        <f t="shared" ref="B29:K29" si="8">IF(B10&lt;&gt;0,B9/B10,0)</f>
        <v>0</v>
      </c>
      <c r="C29" s="235">
        <f t="shared" si="8"/>
        <v>0</v>
      </c>
      <c r="D29" s="235">
        <f t="shared" si="8"/>
        <v>0</v>
      </c>
      <c r="E29" s="235">
        <f t="shared" si="8"/>
        <v>0</v>
      </c>
      <c r="F29" s="235">
        <f t="shared" si="8"/>
        <v>0</v>
      </c>
      <c r="G29" s="235">
        <f t="shared" si="8"/>
        <v>0</v>
      </c>
      <c r="H29" s="235">
        <f t="shared" si="8"/>
        <v>0</v>
      </c>
      <c r="I29" s="235">
        <f t="shared" si="8"/>
        <v>0</v>
      </c>
      <c r="J29" s="235">
        <f t="shared" si="8"/>
        <v>0</v>
      </c>
      <c r="K29" s="235">
        <f t="shared" si="8"/>
        <v>0</v>
      </c>
    </row>
    <row r="30" spans="1:11" ht="15" customHeight="1" x14ac:dyDescent="0.2">
      <c r="A30" s="181"/>
      <c r="B30" s="86"/>
      <c r="C30" s="86"/>
      <c r="D30" s="86"/>
      <c r="E30" s="86"/>
      <c r="F30" s="86"/>
      <c r="G30" s="86"/>
      <c r="H30" s="86"/>
      <c r="I30" s="86"/>
      <c r="J30" s="86"/>
      <c r="K30" s="86"/>
    </row>
    <row r="31" spans="1:11" ht="15" customHeight="1" x14ac:dyDescent="0.2">
      <c r="A31" s="8" t="s">
        <v>635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</row>
    <row r="32" spans="1:11" ht="15" customHeight="1" x14ac:dyDescent="0.2">
      <c r="A32" s="87" t="s">
        <v>636</v>
      </c>
      <c r="B32" s="88">
        <f>B10/Assumptions!$D$9</f>
        <v>12330.967741935483</v>
      </c>
      <c r="C32" s="88">
        <f>C10/Assumptions!$D$9</f>
        <v>20204.516129032258</v>
      </c>
      <c r="D32" s="88">
        <f>D10/Assumptions!$D$9</f>
        <v>28796.029935483875</v>
      </c>
      <c r="E32" s="88">
        <f>E10/Assumptions!$D$9</f>
        <v>33448.738188387106</v>
      </c>
      <c r="F32" s="88">
        <f>F10/Assumptions!$D$9</f>
        <v>38289.470668800001</v>
      </c>
      <c r="G32" s="88">
        <f>G10/Assumptions!$D$9</f>
        <v>44596.608371811111</v>
      </c>
      <c r="H32" s="88">
        <f>H10/Assumptions!$D$9</f>
        <v>50355.207094462276</v>
      </c>
      <c r="I32" s="88">
        <f>I10/Assumptions!$D$9</f>
        <v>52369.415378240781</v>
      </c>
      <c r="J32" s="88">
        <f>J10/Assumptions!$D$9</f>
        <v>54464.191993370412</v>
      </c>
      <c r="K32" s="88">
        <f>K10/Assumptions!$D$9</f>
        <v>56642.759673105218</v>
      </c>
    </row>
    <row r="34" spans="1:11" ht="15" customHeight="1" x14ac:dyDescent="0.2">
      <c r="A34" s="680" t="s">
        <v>637</v>
      </c>
      <c r="B34" s="681"/>
      <c r="C34" s="681"/>
      <c r="D34" s="681"/>
      <c r="E34" s="681"/>
      <c r="F34" s="681"/>
      <c r="G34" s="681"/>
      <c r="H34" s="681"/>
      <c r="I34" s="681"/>
      <c r="J34" s="681"/>
      <c r="K34" s="682"/>
    </row>
    <row r="35" spans="1:11" ht="15" customHeight="1" x14ac:dyDescent="0.2">
      <c r="A35" s="22" t="s">
        <v>8</v>
      </c>
      <c r="B35" s="22" t="s">
        <v>23</v>
      </c>
      <c r="C35" s="22" t="s">
        <v>24</v>
      </c>
      <c r="D35" s="22" t="s">
        <v>25</v>
      </c>
      <c r="E35" s="22" t="s">
        <v>26</v>
      </c>
      <c r="F35" s="22" t="s">
        <v>27</v>
      </c>
      <c r="G35" s="22" t="s">
        <v>28</v>
      </c>
      <c r="H35" s="22" t="s">
        <v>29</v>
      </c>
      <c r="I35" s="22" t="s">
        <v>30</v>
      </c>
      <c r="J35" s="22" t="s">
        <v>31</v>
      </c>
      <c r="K35" s="22" t="s">
        <v>32</v>
      </c>
    </row>
    <row r="36" spans="1:11" ht="15" customHeight="1" x14ac:dyDescent="0.2">
      <c r="A36" s="222" t="s">
        <v>638</v>
      </c>
      <c r="B36" s="223">
        <f>Revenue!B13*Assumptions!B243</f>
        <v>3025904.4889322822</v>
      </c>
      <c r="C36" s="223">
        <f>Revenue!C13*Assumptions!C243</f>
        <v>8484197.0445063747</v>
      </c>
      <c r="D36" s="223">
        <f>Revenue!D13*Assumptions!D243</f>
        <v>12126220.159040445</v>
      </c>
      <c r="E36" s="223">
        <f>Revenue!E13*Assumptions!E243</f>
        <v>16256968.260445638</v>
      </c>
      <c r="F36" s="223">
        <f>Revenue!F13*Assumptions!F243</f>
        <v>18886095.081003882</v>
      </c>
      <c r="G36" s="223">
        <f>Revenue!G13*Assumptions!G243</f>
        <v>21709966.066424169</v>
      </c>
      <c r="H36" s="223">
        <f>Revenue!H13*Assumptions!H243</f>
        <v>24707872.445186574</v>
      </c>
      <c r="I36" s="223">
        <f>Revenue!I13*Assumptions!I243</f>
        <v>27841718.887560952</v>
      </c>
      <c r="J36" s="223">
        <f>Revenue!J13*Assumptions!J243</f>
        <v>29843443.304794353</v>
      </c>
      <c r="K36" s="223">
        <f>Revenue!K13*Assumptions!K243</f>
        <v>31977613.101180714</v>
      </c>
    </row>
    <row r="37" spans="1:11" ht="15" customHeight="1" x14ac:dyDescent="0.2">
      <c r="A37" s="222" t="s">
        <v>639</v>
      </c>
      <c r="B37" s="223">
        <f t="shared" ref="B37:K37" si="9">B18</f>
        <v>25484000</v>
      </c>
      <c r="C37" s="223">
        <f t="shared" si="9"/>
        <v>18799391.673746817</v>
      </c>
      <c r="D37" s="223">
        <f t="shared" si="9"/>
        <v>20445674.012373313</v>
      </c>
      <c r="E37" s="223">
        <f t="shared" si="9"/>
        <v>25566802.993025146</v>
      </c>
      <c r="F37" s="223">
        <f t="shared" si="9"/>
        <v>29063850.039693881</v>
      </c>
      <c r="G37" s="223">
        <f t="shared" si="9"/>
        <v>32023340.502933897</v>
      </c>
      <c r="H37" s="223">
        <f t="shared" si="9"/>
        <v>36216350.969272316</v>
      </c>
      <c r="I37" s="223">
        <f t="shared" si="9"/>
        <v>38701656.522026055</v>
      </c>
      <c r="J37" s="223">
        <f t="shared" si="9"/>
        <v>40249722.782907084</v>
      </c>
      <c r="K37" s="223">
        <f t="shared" si="9"/>
        <v>41859711.694223374</v>
      </c>
    </row>
    <row r="38" spans="1:11" ht="15" customHeight="1" x14ac:dyDescent="0.2">
      <c r="A38" s="100" t="s">
        <v>640</v>
      </c>
      <c r="B38" s="101">
        <f t="shared" ref="B38:K38" si="10">B37-B36</f>
        <v>22458095.511067718</v>
      </c>
      <c r="C38" s="101">
        <f t="shared" si="10"/>
        <v>10315194.629240442</v>
      </c>
      <c r="D38" s="101">
        <f t="shared" si="10"/>
        <v>8319453.8533328678</v>
      </c>
      <c r="E38" s="101">
        <f t="shared" si="10"/>
        <v>9309834.7325795088</v>
      </c>
      <c r="F38" s="101">
        <f t="shared" si="10"/>
        <v>10177754.958689999</v>
      </c>
      <c r="G38" s="101">
        <f t="shared" si="10"/>
        <v>10313374.436509728</v>
      </c>
      <c r="H38" s="101">
        <f t="shared" si="10"/>
        <v>11508478.524085741</v>
      </c>
      <c r="I38" s="101">
        <f t="shared" si="10"/>
        <v>10859937.634465102</v>
      </c>
      <c r="J38" s="101">
        <f t="shared" si="10"/>
        <v>10406279.478112731</v>
      </c>
      <c r="K38" s="101">
        <f t="shared" si="10"/>
        <v>9882098.5930426605</v>
      </c>
    </row>
    <row r="39" spans="1:11" ht="15" customHeight="1" x14ac:dyDescent="0.2">
      <c r="A39" s="222" t="s">
        <v>641</v>
      </c>
      <c r="B39" s="245">
        <f t="shared" ref="B39:K39" si="11">IF(B37&lt;&gt;0,B38/B37,0)</f>
        <v>0.88126257695290056</v>
      </c>
      <c r="C39" s="245">
        <f t="shared" si="11"/>
        <v>0.5486983200443406</v>
      </c>
      <c r="D39" s="245">
        <f t="shared" si="11"/>
        <v>0.40690533597953782</v>
      </c>
      <c r="E39" s="245">
        <f t="shared" si="11"/>
        <v>0.36413761764109948</v>
      </c>
      <c r="F39" s="245">
        <f t="shared" si="11"/>
        <v>0.3501860539739145</v>
      </c>
      <c r="G39" s="245">
        <f t="shared" si="11"/>
        <v>0.32205804499267787</v>
      </c>
      <c r="H39" s="245">
        <f t="shared" si="11"/>
        <v>0.31777023957631967</v>
      </c>
      <c r="I39" s="245">
        <f t="shared" si="11"/>
        <v>0.28060653239182276</v>
      </c>
      <c r="J39" s="245">
        <f t="shared" si="11"/>
        <v>0.25854288572968714</v>
      </c>
      <c r="K39" s="245">
        <f t="shared" si="11"/>
        <v>0.23607660428311997</v>
      </c>
    </row>
    <row r="40" spans="1:11" ht="15" customHeight="1" x14ac:dyDescent="0.2">
      <c r="A40" s="222" t="s">
        <v>642</v>
      </c>
      <c r="B40" s="102">
        <f>'Patient Acquisition'!B95</f>
        <v>1529040</v>
      </c>
      <c r="C40" s="102">
        <f>'Patient Acquisition'!C95</f>
        <v>1989935.3988682916</v>
      </c>
      <c r="D40" s="102">
        <f>'Patient Acquisition'!D95</f>
        <v>2585251.6292292671</v>
      </c>
      <c r="E40" s="102">
        <f>'Patient Acquisition'!E95</f>
        <v>2297361.9106113818</v>
      </c>
      <c r="F40" s="102">
        <f>'Patient Acquisition'!F95</f>
        <v>2437952.6238356084</v>
      </c>
      <c r="G40" s="102">
        <f>'Patient Acquisition'!G95</f>
        <v>2774128.7226190898</v>
      </c>
      <c r="H40" s="102">
        <f>'Patient Acquisition'!H95</f>
        <v>3001678.2622661111</v>
      </c>
      <c r="I40" s="102">
        <f>'Patient Acquisition'!I95</f>
        <v>2537580.1078887149</v>
      </c>
      <c r="J40" s="102">
        <f>'Patient Acquisition'!J95</f>
        <v>2363582.1620199718</v>
      </c>
      <c r="K40" s="102">
        <f>'Patient Acquisition'!K95</f>
        <v>2186689.9623324694</v>
      </c>
    </row>
    <row r="41" spans="1:11" ht="15" customHeight="1" x14ac:dyDescent="0.2">
      <c r="A41" s="222" t="s">
        <v>643</v>
      </c>
      <c r="B41" s="257">
        <f t="shared" ref="B41:K41" si="12">IF(B40&gt;0,B38/B40,0)</f>
        <v>14.687709615881676</v>
      </c>
      <c r="C41" s="257">
        <f t="shared" si="12"/>
        <v>5.18368316635146</v>
      </c>
      <c r="D41" s="257">
        <f t="shared" si="12"/>
        <v>3.2180441390198911</v>
      </c>
      <c r="E41" s="257">
        <f t="shared" si="12"/>
        <v>4.0524023183190776</v>
      </c>
      <c r="F41" s="257">
        <f t="shared" si="12"/>
        <v>4.1747140035385231</v>
      </c>
      <c r="G41" s="257">
        <f t="shared" si="12"/>
        <v>3.7176985885401677</v>
      </c>
      <c r="H41" s="257">
        <f t="shared" si="12"/>
        <v>3.8340146806398359</v>
      </c>
      <c r="I41" s="257">
        <f t="shared" si="12"/>
        <v>4.2796432714396744</v>
      </c>
      <c r="J41" s="257">
        <f t="shared" si="12"/>
        <v>4.4027576639092949</v>
      </c>
      <c r="K41" s="257">
        <f t="shared" si="12"/>
        <v>4.5192042599865205</v>
      </c>
    </row>
  </sheetData>
  <mergeCells count="2">
    <mergeCell ref="A1:K1"/>
    <mergeCell ref="A34:K34"/>
  </mergeCells>
  <pageMargins left="0.75" right="0.75" top="1" bottom="1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L29"/>
  <sheetViews>
    <sheetView zoomScale="15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9" sqref="B19"/>
    </sheetView>
  </sheetViews>
  <sheetFormatPr baseColWidth="10" defaultColWidth="8.6640625" defaultRowHeight="15" x14ac:dyDescent="0.2"/>
  <cols>
    <col min="1" max="1" width="38" customWidth="1"/>
    <col min="2" max="12" width="14" customWidth="1"/>
  </cols>
  <sheetData>
    <row r="1" spans="1:12" ht="27.75" customHeight="1" x14ac:dyDescent="0.2">
      <c r="A1" s="677" t="s">
        <v>644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</row>
    <row r="3" spans="1:12" ht="21.75" customHeight="1" x14ac:dyDescent="0.2">
      <c r="A3" s="253" t="s">
        <v>136</v>
      </c>
      <c r="B3" s="254" t="s">
        <v>23</v>
      </c>
      <c r="C3" s="254" t="s">
        <v>24</v>
      </c>
      <c r="D3" s="254" t="s">
        <v>25</v>
      </c>
      <c r="E3" s="254" t="s">
        <v>26</v>
      </c>
      <c r="F3" s="254" t="s">
        <v>27</v>
      </c>
      <c r="G3" s="254" t="s">
        <v>28</v>
      </c>
      <c r="H3" s="254" t="s">
        <v>29</v>
      </c>
      <c r="I3" s="254" t="s">
        <v>30</v>
      </c>
      <c r="J3" s="254" t="s">
        <v>31</v>
      </c>
      <c r="K3" s="254" t="s">
        <v>32</v>
      </c>
      <c r="L3" s="254" t="s">
        <v>645</v>
      </c>
    </row>
    <row r="4" spans="1:12" ht="15" customHeight="1" x14ac:dyDescent="0.2">
      <c r="A4" s="1" t="s">
        <v>646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 x14ac:dyDescent="0.2">
      <c r="A5" s="210" t="s">
        <v>175</v>
      </c>
      <c r="B5" s="2">
        <f>-(Assumptions!$B$54+Assumptions!$B$59*MAX(0,1-(1-1)/Assumptions!$B$60))*Revenue!B8</f>
        <v>-1304820.0000000002</v>
      </c>
      <c r="C5" s="2">
        <f>-(Assumptions!$B$54+Assumptions!$B$59*MAX(0,1-(2-1)/Assumptions!$B$60))*Revenue!C8</f>
        <v>-2384512.0000000005</v>
      </c>
      <c r="D5" s="2">
        <f>-(Assumptions!$B$54+Assumptions!$B$59*MAX(0,1-(3-1)/Assumptions!$B$60))*Revenue!D8</f>
        <v>-3737274.1120000011</v>
      </c>
      <c r="E5" s="2">
        <f>-(Assumptions!$B$54+Assumptions!$B$59*MAX(0,1-(4-1)/Assumptions!$B$60))*Revenue!E8</f>
        <v>-4727938.3756800015</v>
      </c>
      <c r="F5" s="2">
        <f>-(Assumptions!$B$54+Assumptions!$B$59*MAX(0,1-(5-1)/Assumptions!$B$60))*Revenue!F8</f>
        <v>-5421873.2765184008</v>
      </c>
      <c r="G5" s="2">
        <f>-(Assumptions!$B$54+Assumptions!$B$59*MAX(0,1-(6-1)/Assumptions!$B$60))*Revenue!G8</f>
        <v>-6353848.1174937617</v>
      </c>
      <c r="H5" s="2">
        <f>-(Assumptions!$B$54+Assumptions!$B$59*MAX(0,1-(7-1)/Assumptions!$B$60))*Revenue!H8</f>
        <v>-7335914.7671538927</v>
      </c>
      <c r="I5" s="2">
        <f>-(Assumptions!$B$54+Assumptions!$B$59*MAX(0,1-(8-1)/Assumptions!$B$60))*Revenue!I8</f>
        <v>-7629351.3578400481</v>
      </c>
      <c r="J5" s="2">
        <f>-(Assumptions!$B$54+Assumptions!$B$59*MAX(0,1-(9-1)/Assumptions!$B$60))*Revenue!J8</f>
        <v>-7934525.4121536501</v>
      </c>
      <c r="K5" s="2">
        <f>-(Assumptions!$B$54+Assumptions!$B$59*MAX(0,1-(10-1)/Assumptions!$B$60))*Revenue!K8</f>
        <v>-8251906.4286397956</v>
      </c>
      <c r="L5" s="4">
        <f>Assumptions!$B54</f>
        <v>0.4</v>
      </c>
    </row>
    <row r="6" spans="1:12" ht="15" customHeight="1" x14ac:dyDescent="0.2">
      <c r="A6" s="210" t="s">
        <v>453</v>
      </c>
      <c r="B6" s="2">
        <f>-(Assumptions!$B$55+Assumptions!$B$59*MAX(0,1-(1-1)/Assumptions!$B$60))*Revenue!B9</f>
        <v>-351900.00000000006</v>
      </c>
      <c r="C6" s="2">
        <f>-(Assumptions!$B$55+Assumptions!$B$59*MAX(0,1-(2-1)/Assumptions!$B$60))*Revenue!C9</f>
        <v>-629408.00000000012</v>
      </c>
      <c r="D6" s="2">
        <f>-(Assumptions!$B$55+Assumptions!$B$59*MAX(0,1-(3-1)/Assumptions!$B$60))*Revenue!D9</f>
        <v>-982741.76000000013</v>
      </c>
      <c r="E6" s="2">
        <f>-(Assumptions!$B$55+Assumptions!$B$59*MAX(0,1-(4-1)/Assumptions!$B$60))*Revenue!E9</f>
        <v>-1261017.5385600002</v>
      </c>
      <c r="F6" s="2">
        <f>-(Assumptions!$B$55+Assumptions!$B$59*MAX(0,1-(5-1)/Assumptions!$B$60))*Revenue!F9</f>
        <v>-1429379.9829504006</v>
      </c>
      <c r="G6" s="2">
        <f>-(Assumptions!$B$55+Assumptions!$B$59*MAX(0,1-(6-1)/Assumptions!$B$60))*Revenue!G9</f>
        <v>-1685696.9293332484</v>
      </c>
      <c r="H6" s="2">
        <f>-(Assumptions!$B$55+Assumptions!$B$59*MAX(0,1-(7-1)/Assumptions!$B$60))*Revenue!H9</f>
        <v>-1876113.8151043896</v>
      </c>
      <c r="I6" s="2">
        <f>-(Assumptions!$B$55+Assumptions!$B$59*MAX(0,1-(8-1)/Assumptions!$B$60))*Revenue!I9</f>
        <v>-1951158.3677085654</v>
      </c>
      <c r="J6" s="2">
        <f>-(Assumptions!$B$55+Assumptions!$B$59*MAX(0,1-(9-1)/Assumptions!$B$60))*Revenue!J9</f>
        <v>-2029204.702416908</v>
      </c>
      <c r="K6" s="2">
        <f>-(Assumptions!$B$55+Assumptions!$B$59*MAX(0,1-(10-1)/Assumptions!$B$60))*Revenue!K9</f>
        <v>-2110372.8905135845</v>
      </c>
      <c r="L6" s="4">
        <f>Assumptions!$B55</f>
        <v>0.4</v>
      </c>
    </row>
    <row r="7" spans="1:12" ht="15" customHeight="1" x14ac:dyDescent="0.2">
      <c r="A7" s="210" t="s">
        <v>150</v>
      </c>
      <c r="B7" s="2">
        <f>-(Assumptions!$B$57+Assumptions!$B$59*MAX(0,1-(1-1)/Assumptions!$B$60))*Revenue!B10</f>
        <v>-244800.00000000003</v>
      </c>
      <c r="C7" s="2">
        <f>-(Assumptions!$B$57+Assumptions!$B$59*MAX(0,1-(2-1)/Assumptions!$B$60))*Revenue!C10</f>
        <v>-444704.00000000006</v>
      </c>
      <c r="D7" s="2">
        <f>-(Assumptions!$B$57+Assumptions!$B$59*MAX(0,1-(3-1)/Assumptions!$B$60))*Revenue!D10</f>
        <v>-701958.40000000026</v>
      </c>
      <c r="E7" s="2">
        <f>-(Assumptions!$B$57+Assumptions!$B$59*MAX(0,1-(4-1)/Assumptions!$B$60))*Revenue!E10</f>
        <v>-884953.0060800002</v>
      </c>
      <c r="F7" s="2">
        <f>-(Assumptions!$B$57+Assumptions!$B$59*MAX(0,1-(5-1)/Assumptions!$B$60))*Revenue!F10</f>
        <v>-1014688.5206016003</v>
      </c>
      <c r="G7" s="2">
        <f>-(Assumptions!$B$57+Assumptions!$B$59*MAX(0,1-(6-1)/Assumptions!$B$60))*Revenue!G10</f>
        <v>-1191346.5220300804</v>
      </c>
      <c r="H7" s="2">
        <f>-(Assumptions!$B$57+Assumptions!$B$59*MAX(0,1-(7-1)/Assumptions!$B$60))*Revenue!H10</f>
        <v>-1373832.7775222175</v>
      </c>
      <c r="I7" s="2">
        <f>-(Assumptions!$B$57+Assumptions!$B$59*MAX(0,1-(8-1)/Assumptions!$B$60))*Revenue!I10</f>
        <v>-1428786.0886231062</v>
      </c>
      <c r="J7" s="2">
        <f>-(Assumptions!$B$57+Assumptions!$B$59*MAX(0,1-(9-1)/Assumptions!$B$60))*Revenue!J10</f>
        <v>-1485937.5321680305</v>
      </c>
      <c r="K7" s="2">
        <f>-(Assumptions!$B$57+Assumptions!$B$59*MAX(0,1-(10-1)/Assumptions!$B$60))*Revenue!K10</f>
        <v>-1545375.0334547518</v>
      </c>
      <c r="L7" s="4">
        <f>Assumptions!$B57</f>
        <v>0.4</v>
      </c>
    </row>
    <row r="8" spans="1:12" ht="15" customHeight="1" x14ac:dyDescent="0.2">
      <c r="A8" s="210" t="s">
        <v>176</v>
      </c>
      <c r="B8" s="2">
        <f>-(Assumptions!$B$56+Assumptions!$B$59*MAX(0,1-(1-1)/Assumptions!$B$60))*Revenue!B11</f>
        <v>-392040.00000000006</v>
      </c>
      <c r="C8" s="2">
        <f>-(Assumptions!$B$56+Assumptions!$B$59*MAX(0,1-(2-1)/Assumptions!$B$60))*Revenue!C11</f>
        <v>-716976.00000000012</v>
      </c>
      <c r="D8" s="2">
        <f>-(Assumptions!$B$56+Assumptions!$B$59*MAX(0,1-(3-1)/Assumptions!$B$60))*Revenue!D11</f>
        <v>-1124323.2000000002</v>
      </c>
      <c r="E8" s="2">
        <f>-(Assumptions!$B$56+Assumptions!$B$59*MAX(0,1-(4-1)/Assumptions!$B$60))*Revenue!E11</f>
        <v>-1421378.1504000002</v>
      </c>
      <c r="F8" s="2">
        <f>-(Assumptions!$B$56+Assumptions!$B$59*MAX(0,1-(5-1)/Assumptions!$B$60))*Revenue!F11</f>
        <v>-1629846.9457920005</v>
      </c>
      <c r="G8" s="2">
        <f>-(Assumptions!$B$56+Assumptions!$B$59*MAX(0,1-(6-1)/Assumptions!$B$60))*Revenue!G11</f>
        <v>-1829067.3073520646</v>
      </c>
      <c r="H8" s="2">
        <f>-(Assumptions!$B$56+Assumptions!$B$59*MAX(0,1-(7-1)/Assumptions!$B$60))*Revenue!H11</f>
        <v>-1902229.999646147</v>
      </c>
      <c r="I8" s="2">
        <f>-(Assumptions!$B$56+Assumptions!$B$59*MAX(0,1-(8-1)/Assumptions!$B$60))*Revenue!I11</f>
        <v>-1978319.1996319932</v>
      </c>
      <c r="J8" s="2">
        <f>-(Assumptions!$B$56+Assumptions!$B$59*MAX(0,1-(9-1)/Assumptions!$B$60))*Revenue!J11</f>
        <v>-2057451.9676172731</v>
      </c>
      <c r="K8" s="2">
        <f>-(Assumptions!$B$56+Assumptions!$B$59*MAX(0,1-(10-1)/Assumptions!$B$60))*Revenue!K11</f>
        <v>-2139750.0463219639</v>
      </c>
      <c r="L8" s="4">
        <f>Assumptions!$B56</f>
        <v>0.4</v>
      </c>
    </row>
    <row r="9" spans="1:12" ht="15" customHeight="1" x14ac:dyDescent="0.2">
      <c r="A9" s="87" t="s">
        <v>647</v>
      </c>
      <c r="B9" s="88">
        <f t="shared" ref="B9:K9" si="0">SUM(B5:B8)</f>
        <v>-2293560.0000000005</v>
      </c>
      <c r="C9" s="88">
        <f t="shared" si="0"/>
        <v>-4175600.0000000005</v>
      </c>
      <c r="D9" s="88">
        <f t="shared" si="0"/>
        <v>-6546297.4720000019</v>
      </c>
      <c r="E9" s="88">
        <f t="shared" si="0"/>
        <v>-8295287.0707200021</v>
      </c>
      <c r="F9" s="88">
        <f t="shared" si="0"/>
        <v>-9495788.7258624025</v>
      </c>
      <c r="G9" s="88">
        <f t="shared" si="0"/>
        <v>-11059958.876209155</v>
      </c>
      <c r="H9" s="88">
        <f t="shared" si="0"/>
        <v>-12488091.359426647</v>
      </c>
      <c r="I9" s="88">
        <f t="shared" si="0"/>
        <v>-12987615.013803713</v>
      </c>
      <c r="J9" s="88">
        <f t="shared" si="0"/>
        <v>-13507119.614355862</v>
      </c>
      <c r="K9" s="88">
        <f t="shared" si="0"/>
        <v>-14047404.398930095</v>
      </c>
      <c r="L9" s="103"/>
    </row>
    <row r="10" spans="1:12" ht="15" customHeight="1" x14ac:dyDescent="0.2">
      <c r="A10" s="181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104"/>
    </row>
    <row r="11" spans="1:12" ht="15" customHeight="1" x14ac:dyDescent="0.2">
      <c r="A11" s="87" t="s">
        <v>648</v>
      </c>
      <c r="B11" s="88">
        <f>OpEx!B25</f>
        <v>-2293560.0000000005</v>
      </c>
      <c r="C11" s="88">
        <f>OpEx!C25</f>
        <v>-4175600.0000000005</v>
      </c>
      <c r="D11" s="88">
        <f>OpEx!D25</f>
        <v>-6546297.4720000019</v>
      </c>
      <c r="E11" s="88">
        <f>OpEx!E25</f>
        <v>-8295287.0707200021</v>
      </c>
      <c r="F11" s="88">
        <f>OpEx!F25</f>
        <v>-9495788.7258624025</v>
      </c>
      <c r="G11" s="88">
        <f>OpEx!G25</f>
        <v>-11059958.876209155</v>
      </c>
      <c r="H11" s="88">
        <f>OpEx!H25</f>
        <v>-12488091.359426647</v>
      </c>
      <c r="I11" s="88">
        <f>OpEx!I25</f>
        <v>-12987615.013803713</v>
      </c>
      <c r="J11" s="88">
        <f>OpEx!J25</f>
        <v>-13507119.614355862</v>
      </c>
      <c r="K11" s="88">
        <f>OpEx!K25</f>
        <v>-14047404.398930095</v>
      </c>
      <c r="L11" s="103"/>
    </row>
    <row r="12" spans="1:12" ht="15" customHeight="1" x14ac:dyDescent="0.2">
      <c r="A12" s="210" t="s">
        <v>649</v>
      </c>
      <c r="B12" s="235">
        <f t="shared" ref="B12:K12" si="1">B9-B11</f>
        <v>0</v>
      </c>
      <c r="C12" s="235">
        <f t="shared" si="1"/>
        <v>0</v>
      </c>
      <c r="D12" s="235">
        <f t="shared" si="1"/>
        <v>0</v>
      </c>
      <c r="E12" s="235">
        <f t="shared" si="1"/>
        <v>0</v>
      </c>
      <c r="F12" s="235">
        <f t="shared" si="1"/>
        <v>0</v>
      </c>
      <c r="G12" s="235">
        <f t="shared" si="1"/>
        <v>0</v>
      </c>
      <c r="H12" s="235">
        <f t="shared" si="1"/>
        <v>0</v>
      </c>
      <c r="I12" s="235">
        <f t="shared" si="1"/>
        <v>0</v>
      </c>
      <c r="J12" s="235">
        <f t="shared" si="1"/>
        <v>0</v>
      </c>
      <c r="K12" s="235">
        <f t="shared" si="1"/>
        <v>0</v>
      </c>
      <c r="L12" s="104"/>
    </row>
    <row r="13" spans="1:12" ht="15" customHeight="1" x14ac:dyDescent="0.2">
      <c r="A13" s="181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104"/>
    </row>
    <row r="14" spans="1:12" ht="15" customHeight="1" x14ac:dyDescent="0.2">
      <c r="A14" s="87" t="s">
        <v>650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103"/>
    </row>
    <row r="15" spans="1:12" ht="15" customHeight="1" x14ac:dyDescent="0.2">
      <c r="A15" s="210" t="s">
        <v>651</v>
      </c>
      <c r="B15" s="2">
        <f>IF(Revenue!B13&lt;&gt;0,B9/Revenue!B13,0)</f>
        <v>-0.30000000000000004</v>
      </c>
      <c r="C15" s="2">
        <f>IF(Revenue!C13&lt;&gt;0,C9/Revenue!C13,0)</f>
        <v>-0.33333333333333337</v>
      </c>
      <c r="D15" s="2">
        <f>IF(Revenue!D13&lt;&gt;0,D9/Revenue!D13,0)</f>
        <v>-0.36666666666666675</v>
      </c>
      <c r="E15" s="2">
        <f>IF(Revenue!E13&lt;&gt;0,E9/Revenue!E13,0)</f>
        <v>-0.4</v>
      </c>
      <c r="F15" s="2">
        <f>IF(Revenue!F13&lt;&gt;0,F9/Revenue!F13,0)</f>
        <v>-0.40000000000000008</v>
      </c>
      <c r="G15" s="2">
        <f>IF(Revenue!G13&lt;&gt;0,G9/Revenue!G13,0)</f>
        <v>-0.4</v>
      </c>
      <c r="H15" s="2">
        <f>IF(Revenue!H13&lt;&gt;0,H9/Revenue!H13,0)</f>
        <v>-0.40000000000000008</v>
      </c>
      <c r="I15" s="2">
        <f>IF(Revenue!I13&lt;&gt;0,I9/Revenue!I13,0)</f>
        <v>-0.4</v>
      </c>
      <c r="J15" s="2">
        <f>IF(Revenue!J13&lt;&gt;0,J9/Revenue!J13,0)</f>
        <v>-0.4</v>
      </c>
      <c r="K15" s="2">
        <f>IF(Revenue!K13&lt;&gt;0,K9/Revenue!K13,0)</f>
        <v>-0.4</v>
      </c>
      <c r="L15" s="104"/>
    </row>
    <row r="16" spans="1:12" ht="15" customHeight="1" x14ac:dyDescent="0.2">
      <c r="A16" s="680" t="s">
        <v>652</v>
      </c>
      <c r="B16" s="681"/>
      <c r="C16" s="681"/>
      <c r="D16" s="681"/>
      <c r="E16" s="681"/>
      <c r="F16" s="681"/>
      <c r="G16" s="681"/>
      <c r="H16" s="681"/>
      <c r="I16" s="681"/>
      <c r="J16" s="681"/>
      <c r="K16" s="681"/>
      <c r="L16" s="682"/>
    </row>
    <row r="17" spans="1:12" ht="15" customHeight="1" x14ac:dyDescent="0.2">
      <c r="A17" s="244" t="s">
        <v>286</v>
      </c>
      <c r="B17" s="244" t="s">
        <v>23</v>
      </c>
      <c r="C17" s="244" t="s">
        <v>24</v>
      </c>
      <c r="D17" s="244" t="s">
        <v>25</v>
      </c>
      <c r="E17" s="244" t="s">
        <v>26</v>
      </c>
      <c r="F17" s="244" t="s">
        <v>27</v>
      </c>
      <c r="G17" s="244" t="s">
        <v>28</v>
      </c>
      <c r="H17" s="244" t="s">
        <v>29</v>
      </c>
      <c r="I17" s="244" t="s">
        <v>30</v>
      </c>
      <c r="J17" s="244" t="s">
        <v>31</v>
      </c>
      <c r="K17" s="244" t="s">
        <v>32</v>
      </c>
      <c r="L17" s="244" t="s">
        <v>287</v>
      </c>
    </row>
    <row r="18" spans="1:12" ht="15" customHeight="1" x14ac:dyDescent="0.2">
      <c r="A18" s="222" t="s">
        <v>212</v>
      </c>
      <c r="B18" s="223">
        <f>-Assumptions!E140*(1+Assumptions!$B$130)^0</f>
        <v>-180000</v>
      </c>
      <c r="C18" s="223">
        <f>-Assumptions!E140*(1+Assumptions!$B$130)^1</f>
        <v>-187200</v>
      </c>
      <c r="D18" s="223">
        <f>-Assumptions!E140*(1+Assumptions!$B$130)^2</f>
        <v>-194688.00000000003</v>
      </c>
      <c r="E18" s="223">
        <f>-Assumptions!E140*(1+Assumptions!$B$130)^3</f>
        <v>-202475.52000000002</v>
      </c>
      <c r="F18" s="223">
        <f>-Assumptions!E140*(1+Assumptions!$B$130)^4</f>
        <v>-210574.54080000005</v>
      </c>
      <c r="G18" s="223">
        <f>-Assumptions!E140*(1+Assumptions!$B$130)^5</f>
        <v>-218997.52243200006</v>
      </c>
      <c r="H18" s="223">
        <f>-Assumptions!E140*(1+Assumptions!$B$130)^6</f>
        <v>-227757.42332928008</v>
      </c>
      <c r="I18" s="223">
        <f>-Assumptions!E140*(1+Assumptions!$B$130)^7</f>
        <v>-236867.72026245124</v>
      </c>
      <c r="J18" s="223">
        <f>-Assumptions!E140*(1+Assumptions!$B$130)^8</f>
        <v>-246342.42907294934</v>
      </c>
      <c r="K18" s="223">
        <f>-Assumptions!E140*(1+Assumptions!$B$130)^9</f>
        <v>-256196.12623586733</v>
      </c>
      <c r="L18" s="102">
        <f>Assumptions!B140</f>
        <v>15000</v>
      </c>
    </row>
    <row r="19" spans="1:12" ht="15" customHeight="1" x14ac:dyDescent="0.2">
      <c r="A19" s="222" t="s">
        <v>653</v>
      </c>
      <c r="B19" s="223">
        <f>-Assumptions!E141*(1+Assumptions!$B$130)^0</f>
        <v>-168000</v>
      </c>
      <c r="C19" s="223">
        <f>-Assumptions!E141*(1+Assumptions!$B$130)^1</f>
        <v>-174720</v>
      </c>
      <c r="D19" s="223">
        <f>-Assumptions!E141*(1+Assumptions!$B$130)^2</f>
        <v>-181708.80000000002</v>
      </c>
      <c r="E19" s="223">
        <f>-Assumptions!E141*(1+Assumptions!$B$130)^3</f>
        <v>-188977.152</v>
      </c>
      <c r="F19" s="223">
        <f>-Assumptions!E141*(1+Assumptions!$B$130)^4</f>
        <v>-196536.23808000004</v>
      </c>
      <c r="G19" s="223">
        <f>-Assumptions!E141*(1+Assumptions!$B$130)^5</f>
        <v>-204397.68760320006</v>
      </c>
      <c r="H19" s="223">
        <f>-Assumptions!E141*(1+Assumptions!$B$130)^6</f>
        <v>-212573.59510732806</v>
      </c>
      <c r="I19" s="223">
        <f>-Assumptions!E141*(1+Assumptions!$B$130)^7</f>
        <v>-221076.53891162117</v>
      </c>
      <c r="J19" s="223">
        <f>-Assumptions!E141*(1+Assumptions!$B$130)^8</f>
        <v>-229919.60046808605</v>
      </c>
      <c r="K19" s="223">
        <f>-Assumptions!E141*(1+Assumptions!$B$130)^9</f>
        <v>-239116.38448680952</v>
      </c>
      <c r="L19" s="102">
        <f>Assumptions!B141</f>
        <v>7000</v>
      </c>
    </row>
    <row r="20" spans="1:12" ht="15" customHeight="1" x14ac:dyDescent="0.2">
      <c r="A20" s="222" t="s">
        <v>222</v>
      </c>
      <c r="B20" s="223">
        <f>-Assumptions!E142*(1+Assumptions!$B$130)^0</f>
        <v>-120000</v>
      </c>
      <c r="C20" s="223">
        <f>-Assumptions!E142*(1+Assumptions!$B$130)^1</f>
        <v>-124800</v>
      </c>
      <c r="D20" s="223">
        <f>-Assumptions!E142*(1+Assumptions!$B$130)^2</f>
        <v>-129792.00000000001</v>
      </c>
      <c r="E20" s="223">
        <f>-Assumptions!E142*(1+Assumptions!$B$130)^3</f>
        <v>-134983.68000000002</v>
      </c>
      <c r="F20" s="223">
        <f>-Assumptions!E142*(1+Assumptions!$B$130)^4</f>
        <v>-140383.02720000001</v>
      </c>
      <c r="G20" s="223">
        <f>-Assumptions!E142*(1+Assumptions!$B$130)^5</f>
        <v>-145998.34828800004</v>
      </c>
      <c r="H20" s="223">
        <f>-Assumptions!E142*(1+Assumptions!$B$130)^6</f>
        <v>-151838.28221952004</v>
      </c>
      <c r="I20" s="223">
        <f>-Assumptions!E142*(1+Assumptions!$B$130)^7</f>
        <v>-157911.81350830084</v>
      </c>
      <c r="J20" s="223">
        <f>-Assumptions!E142*(1+Assumptions!$B$130)^8</f>
        <v>-164228.2860486329</v>
      </c>
      <c r="K20" s="223">
        <f>-Assumptions!E142*(1+Assumptions!$B$130)^9</f>
        <v>-170797.41749057823</v>
      </c>
      <c r="L20" s="102">
        <f>Assumptions!B142</f>
        <v>10000</v>
      </c>
    </row>
    <row r="21" spans="1:12" ht="15" customHeight="1" x14ac:dyDescent="0.2">
      <c r="A21" s="222" t="s">
        <v>654</v>
      </c>
      <c r="B21" s="223">
        <f>-IF(1&gt;=2,Assumptions!E143*(1+Assumptions!$B$130)^0,0)</f>
        <v>0</v>
      </c>
      <c r="C21" s="223">
        <f>-IF(2&gt;=2,Assumptions!E143*(1+Assumptions!$B$130)^1,0)</f>
        <v>-62400</v>
      </c>
      <c r="D21" s="223">
        <f>-IF(3&gt;=2,Assumptions!E143*(1+Assumptions!$B$130)^2,0)</f>
        <v>-64896.000000000007</v>
      </c>
      <c r="E21" s="223">
        <f>-IF(4&gt;=2,Assumptions!E143*(1+Assumptions!$B$130)^3,0)</f>
        <v>-67491.840000000011</v>
      </c>
      <c r="F21" s="223">
        <f>-IF(5&gt;=2,Assumptions!E143*(1+Assumptions!$B$130)^4,0)</f>
        <v>-70191.513600000006</v>
      </c>
      <c r="G21" s="223">
        <f>-IF(6&gt;=2,Assumptions!E143*(1+Assumptions!$B$130)^5,0)</f>
        <v>-72999.174144000019</v>
      </c>
      <c r="H21" s="223">
        <f>-IF(7&gt;=2,Assumptions!E143*(1+Assumptions!$B$130)^6,0)</f>
        <v>-75919.141109760021</v>
      </c>
      <c r="I21" s="223">
        <f>-IF(8&gt;=2,Assumptions!E143*(1+Assumptions!$B$130)^7,0)</f>
        <v>-78955.906754150419</v>
      </c>
      <c r="J21" s="223">
        <f>-IF(9&gt;=2,Assumptions!E143*(1+Assumptions!$B$130)^8,0)</f>
        <v>-82114.14302431645</v>
      </c>
      <c r="K21" s="223">
        <f>-IF(10&gt;=2,Assumptions!E143*(1+Assumptions!$B$130)^9,0)</f>
        <v>-85398.708745289114</v>
      </c>
      <c r="L21" s="102">
        <f>Assumptions!B143</f>
        <v>5000</v>
      </c>
    </row>
    <row r="22" spans="1:12" ht="15" customHeight="1" x14ac:dyDescent="0.2">
      <c r="A22" s="222" t="s">
        <v>655</v>
      </c>
      <c r="B22" s="223">
        <f>-IF(1&gt;=2,Assumptions!E144*(1+Assumptions!$B$130)^0,0)</f>
        <v>0</v>
      </c>
      <c r="C22" s="223">
        <f>-IF(2&gt;=2,Assumptions!E144*(1+Assumptions!$B$130)^1,0)</f>
        <v>-62400</v>
      </c>
      <c r="D22" s="223">
        <f>-IF(3&gt;=2,Assumptions!E144*(1+Assumptions!$B$130)^2,0)</f>
        <v>-64896.000000000007</v>
      </c>
      <c r="E22" s="223">
        <f>-IF(4&gt;=2,Assumptions!E144*(1+Assumptions!$B$130)^3,0)</f>
        <v>-67491.840000000011</v>
      </c>
      <c r="F22" s="223">
        <f>-IF(5&gt;=2,Assumptions!E144*(1+Assumptions!$B$130)^4,0)</f>
        <v>-70191.513600000006</v>
      </c>
      <c r="G22" s="223">
        <f>-IF(6&gt;=2,Assumptions!E144*(1+Assumptions!$B$130)^5,0)</f>
        <v>-72999.174144000019</v>
      </c>
      <c r="H22" s="223">
        <f>-IF(7&gt;=2,Assumptions!E144*(1+Assumptions!$B$130)^6,0)</f>
        <v>-75919.141109760021</v>
      </c>
      <c r="I22" s="223">
        <f>-IF(8&gt;=2,Assumptions!E144*(1+Assumptions!$B$130)^7,0)</f>
        <v>-78955.906754150419</v>
      </c>
      <c r="J22" s="223">
        <f>-IF(9&gt;=2,Assumptions!E144*(1+Assumptions!$B$130)^8,0)</f>
        <v>-82114.14302431645</v>
      </c>
      <c r="K22" s="223">
        <f>-IF(10&gt;=2,Assumptions!E144*(1+Assumptions!$B$130)^9,0)</f>
        <v>-85398.708745289114</v>
      </c>
      <c r="L22" s="102">
        <f>Assumptions!B144</f>
        <v>5000</v>
      </c>
    </row>
    <row r="23" spans="1:12" ht="15" customHeight="1" x14ac:dyDescent="0.2">
      <c r="A23" s="222" t="s">
        <v>229</v>
      </c>
      <c r="B23" s="223">
        <f>-Assumptions!E145*(1+Assumptions!$B$130)^0</f>
        <v>-60000</v>
      </c>
      <c r="C23" s="223">
        <f>-Assumptions!E145*(1+Assumptions!$B$130)^1</f>
        <v>-62400</v>
      </c>
      <c r="D23" s="223">
        <f>-Assumptions!E145*(1+Assumptions!$B$130)^2</f>
        <v>-64896.000000000007</v>
      </c>
      <c r="E23" s="223">
        <f>-Assumptions!E145*(1+Assumptions!$B$130)^3</f>
        <v>-67491.840000000011</v>
      </c>
      <c r="F23" s="223">
        <f>-Assumptions!E145*(1+Assumptions!$B$130)^4</f>
        <v>-70191.513600000006</v>
      </c>
      <c r="G23" s="223">
        <f>-Assumptions!E145*(1+Assumptions!$B$130)^5</f>
        <v>-72999.174144000019</v>
      </c>
      <c r="H23" s="223">
        <f>-Assumptions!E145*(1+Assumptions!$B$130)^6</f>
        <v>-75919.141109760021</v>
      </c>
      <c r="I23" s="223">
        <f>-Assumptions!E145*(1+Assumptions!$B$130)^7</f>
        <v>-78955.906754150419</v>
      </c>
      <c r="J23" s="223">
        <f>-Assumptions!E145*(1+Assumptions!$B$130)^8</f>
        <v>-82114.14302431645</v>
      </c>
      <c r="K23" s="223">
        <f>-Assumptions!E145*(1+Assumptions!$B$130)^9</f>
        <v>-85398.708745289114</v>
      </c>
      <c r="L23" s="102">
        <f>Assumptions!B145</f>
        <v>5000</v>
      </c>
    </row>
    <row r="24" spans="1:12" ht="15" customHeight="1" x14ac:dyDescent="0.2">
      <c r="A24" s="26" t="s">
        <v>306</v>
      </c>
      <c r="B24" s="37">
        <f t="shared" ref="B24:K24" si="2">SUM(B18:B23)</f>
        <v>-528000</v>
      </c>
      <c r="C24" s="37">
        <f t="shared" si="2"/>
        <v>-673920</v>
      </c>
      <c r="D24" s="37">
        <f t="shared" si="2"/>
        <v>-700876.80000000005</v>
      </c>
      <c r="E24" s="37">
        <f t="shared" si="2"/>
        <v>-728911.87199999997</v>
      </c>
      <c r="F24" s="37">
        <f t="shared" si="2"/>
        <v>-758068.34688000008</v>
      </c>
      <c r="G24" s="37">
        <f t="shared" si="2"/>
        <v>-788391.08075520024</v>
      </c>
      <c r="H24" s="37">
        <f t="shared" si="2"/>
        <v>-819926.72398540832</v>
      </c>
      <c r="I24" s="37">
        <f t="shared" si="2"/>
        <v>-852723.79294482444</v>
      </c>
      <c r="J24" s="37">
        <f t="shared" si="2"/>
        <v>-886832.74466261757</v>
      </c>
      <c r="K24" s="37">
        <f t="shared" si="2"/>
        <v>-922306.05444912252</v>
      </c>
    </row>
    <row r="26" spans="1:12" ht="15" customHeight="1" x14ac:dyDescent="0.2">
      <c r="A26" s="680" t="s">
        <v>656</v>
      </c>
      <c r="B26" s="681"/>
      <c r="C26" s="681"/>
      <c r="D26" s="681"/>
      <c r="E26" s="681"/>
      <c r="F26" s="681"/>
      <c r="G26" s="681"/>
      <c r="H26" s="681"/>
      <c r="I26" s="681"/>
      <c r="J26" s="681"/>
      <c r="K26" s="681"/>
      <c r="L26" s="682"/>
    </row>
    <row r="27" spans="1:12" ht="15" customHeight="1" x14ac:dyDescent="0.2">
      <c r="A27" s="105" t="s">
        <v>657</v>
      </c>
      <c r="B27" s="102">
        <f t="shared" ref="B27:K27" si="3">B9</f>
        <v>-2293560.0000000005</v>
      </c>
      <c r="C27" s="102">
        <f t="shared" si="3"/>
        <v>-4175600.0000000005</v>
      </c>
      <c r="D27" s="102">
        <f t="shared" si="3"/>
        <v>-6546297.4720000019</v>
      </c>
      <c r="E27" s="102">
        <f t="shared" si="3"/>
        <v>-8295287.0707200021</v>
      </c>
      <c r="F27" s="102">
        <f t="shared" si="3"/>
        <v>-9495788.7258624025</v>
      </c>
      <c r="G27" s="102">
        <f t="shared" si="3"/>
        <v>-11059958.876209155</v>
      </c>
      <c r="H27" s="102">
        <f t="shared" si="3"/>
        <v>-12488091.359426647</v>
      </c>
      <c r="I27" s="102">
        <f t="shared" si="3"/>
        <v>-12987615.013803713</v>
      </c>
      <c r="J27" s="102">
        <f t="shared" si="3"/>
        <v>-13507119.614355862</v>
      </c>
      <c r="K27" s="102">
        <f t="shared" si="3"/>
        <v>-14047404.398930095</v>
      </c>
    </row>
    <row r="28" spans="1:12" ht="15" customHeight="1" x14ac:dyDescent="0.2">
      <c r="A28" s="105" t="s">
        <v>658</v>
      </c>
      <c r="B28" s="102">
        <f t="shared" ref="B28:K28" si="4">B24</f>
        <v>-528000</v>
      </c>
      <c r="C28" s="102">
        <f t="shared" si="4"/>
        <v>-673920</v>
      </c>
      <c r="D28" s="102">
        <f t="shared" si="4"/>
        <v>-700876.80000000005</v>
      </c>
      <c r="E28" s="102">
        <f t="shared" si="4"/>
        <v>-728911.87199999997</v>
      </c>
      <c r="F28" s="102">
        <f t="shared" si="4"/>
        <v>-758068.34688000008</v>
      </c>
      <c r="G28" s="102">
        <f t="shared" si="4"/>
        <v>-788391.08075520024</v>
      </c>
      <c r="H28" s="102">
        <f t="shared" si="4"/>
        <v>-819926.72398540832</v>
      </c>
      <c r="I28" s="102">
        <f t="shared" si="4"/>
        <v>-852723.79294482444</v>
      </c>
      <c r="J28" s="102">
        <f t="shared" si="4"/>
        <v>-886832.74466261757</v>
      </c>
      <c r="K28" s="102">
        <f t="shared" si="4"/>
        <v>-922306.05444912252</v>
      </c>
    </row>
    <row r="29" spans="1:12" ht="15" customHeight="1" x14ac:dyDescent="0.2">
      <c r="A29" s="26" t="s">
        <v>659</v>
      </c>
      <c r="B29" s="37">
        <f t="shared" ref="B29:K29" si="5">B27+B28</f>
        <v>-2821560.0000000005</v>
      </c>
      <c r="C29" s="37">
        <f t="shared" si="5"/>
        <v>-4849520</v>
      </c>
      <c r="D29" s="37">
        <f t="shared" si="5"/>
        <v>-7247174.2720000017</v>
      </c>
      <c r="E29" s="37">
        <f t="shared" si="5"/>
        <v>-9024198.9427200016</v>
      </c>
      <c r="F29" s="37">
        <f t="shared" si="5"/>
        <v>-10253857.072742403</v>
      </c>
      <c r="G29" s="37">
        <f t="shared" si="5"/>
        <v>-11848349.956964355</v>
      </c>
      <c r="H29" s="37">
        <f t="shared" si="5"/>
        <v>-13308018.083412055</v>
      </c>
      <c r="I29" s="37">
        <f t="shared" si="5"/>
        <v>-13840338.806748537</v>
      </c>
      <c r="J29" s="37">
        <f t="shared" si="5"/>
        <v>-14393952.35901848</v>
      </c>
      <c r="K29" s="37">
        <f t="shared" si="5"/>
        <v>-14969710.453379218</v>
      </c>
    </row>
  </sheetData>
  <mergeCells count="3">
    <mergeCell ref="A26:L26"/>
    <mergeCell ref="A16:L16"/>
    <mergeCell ref="A1:L1"/>
  </mergeCells>
  <pageMargins left="0.75" right="0.75" top="1" bottom="1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K32"/>
  <sheetViews>
    <sheetView zoomScale="208" zoomScaleNormal="100" workbookViewId="0">
      <selection activeCell="B15" sqref="B15"/>
    </sheetView>
  </sheetViews>
  <sheetFormatPr baseColWidth="10" defaultColWidth="8.6640625" defaultRowHeight="15" x14ac:dyDescent="0.2"/>
  <cols>
    <col min="1" max="1" width="38" customWidth="1"/>
    <col min="2" max="11" width="14" customWidth="1"/>
  </cols>
  <sheetData>
    <row r="1" spans="1:11" ht="27.75" customHeight="1" x14ac:dyDescent="0.2">
      <c r="A1" s="677" t="s">
        <v>660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2" spans="1:11" ht="15" customHeight="1" x14ac:dyDescent="0.2">
      <c r="A2" s="679" t="s">
        <v>661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</row>
    <row r="4" spans="1:11" ht="21.75" customHeight="1" x14ac:dyDescent="0.2">
      <c r="A4" s="253" t="s">
        <v>662</v>
      </c>
      <c r="B4" s="254" t="s">
        <v>566</v>
      </c>
      <c r="C4" s="254" t="s">
        <v>567</v>
      </c>
      <c r="D4" s="254" t="s">
        <v>568</v>
      </c>
      <c r="E4" s="254" t="s">
        <v>569</v>
      </c>
      <c r="F4" s="254" t="s">
        <v>570</v>
      </c>
      <c r="G4" s="254" t="s">
        <v>571</v>
      </c>
      <c r="H4" s="254" t="s">
        <v>572</v>
      </c>
      <c r="I4" s="254" t="s">
        <v>573</v>
      </c>
      <c r="J4" s="254" t="s">
        <v>574</v>
      </c>
      <c r="K4" s="254" t="s">
        <v>575</v>
      </c>
    </row>
    <row r="5" spans="1:11" ht="15" customHeight="1" x14ac:dyDescent="0.2">
      <c r="A5" s="210" t="s">
        <v>576</v>
      </c>
      <c r="B5" s="4">
        <f>Revenue!B5</f>
        <v>1</v>
      </c>
      <c r="C5" s="4">
        <f>Revenue!C5</f>
        <v>1.04</v>
      </c>
      <c r="D5" s="4">
        <f>Revenue!D5</f>
        <v>1.0816000000000001</v>
      </c>
      <c r="E5" s="4">
        <f>Revenue!E5</f>
        <v>1.1248640000000001</v>
      </c>
      <c r="F5" s="4">
        <f>Revenue!F5</f>
        <v>1.1698585600000002</v>
      </c>
      <c r="G5" s="4">
        <f>Revenue!G5</f>
        <v>1.2166529024000003</v>
      </c>
      <c r="H5" s="4">
        <f>Revenue!H5</f>
        <v>1.2653190184960004</v>
      </c>
      <c r="I5" s="4">
        <f>Revenue!I5</f>
        <v>1.3159317792358405</v>
      </c>
      <c r="J5" s="4">
        <f>Revenue!J5</f>
        <v>1.3685690504052741</v>
      </c>
      <c r="K5" s="4">
        <f>Revenue!K5</f>
        <v>1.4233118124214852</v>
      </c>
    </row>
    <row r="6" spans="1:11" ht="15" customHeight="1" x14ac:dyDescent="0.2">
      <c r="A6" s="181"/>
      <c r="B6" s="86"/>
      <c r="C6" s="86"/>
      <c r="D6" s="86"/>
      <c r="E6" s="86"/>
      <c r="F6" s="86"/>
      <c r="G6" s="86"/>
      <c r="H6" s="86"/>
      <c r="I6" s="86"/>
      <c r="J6" s="86"/>
      <c r="K6" s="86"/>
    </row>
    <row r="7" spans="1:11" ht="15" customHeight="1" x14ac:dyDescent="0.2">
      <c r="A7" s="210" t="s">
        <v>663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</row>
    <row r="8" spans="1:11" ht="15" customHeight="1" x14ac:dyDescent="0.2">
      <c r="A8" s="676" t="s">
        <v>184</v>
      </c>
      <c r="B8" s="289">
        <f>-Assumptions!$B$63*Revenue!B8</f>
        <v>-217470</v>
      </c>
      <c r="C8" s="289">
        <f>-Assumptions!$B$63*Revenue!C8</f>
        <v>-357676.80000000005</v>
      </c>
      <c r="D8" s="289">
        <f>-Assumptions!$B$63*Revenue!D8</f>
        <v>-509628.28800000012</v>
      </c>
      <c r="E8" s="289">
        <f>-Assumptions!$B$63*Revenue!E8</f>
        <v>-590992.29696000018</v>
      </c>
      <c r="F8" s="289">
        <f>-Assumptions!$B$63*Revenue!F8</f>
        <v>-677734.15956480009</v>
      </c>
      <c r="G8" s="289">
        <f>-Assumptions!$B$63*Revenue!G8</f>
        <v>-794231.01468672021</v>
      </c>
      <c r="H8" s="289">
        <f>-Assumptions!$B$63*Revenue!H8</f>
        <v>-916989.34589423658</v>
      </c>
      <c r="I8" s="289">
        <f>-Assumptions!$B$63*Revenue!I8</f>
        <v>-953668.91973000602</v>
      </c>
      <c r="J8" s="289">
        <f>-Assumptions!$B$63*Revenue!J8</f>
        <v>-991815.67651920626</v>
      </c>
      <c r="K8" s="289">
        <f>-Assumptions!$B$63*Revenue!K8</f>
        <v>-1031488.3035799745</v>
      </c>
    </row>
    <row r="9" spans="1:11" ht="15" customHeight="1" x14ac:dyDescent="0.2">
      <c r="A9" s="676" t="s">
        <v>185</v>
      </c>
      <c r="B9" s="289">
        <f>-Assumptions!$B$64*Revenue!B10</f>
        <v>-97920</v>
      </c>
      <c r="C9" s="289">
        <f>-Assumptions!$B$64*Revenue!C10</f>
        <v>-160093.44</v>
      </c>
      <c r="D9" s="289">
        <f>-Assumptions!$B$64*Revenue!D10</f>
        <v>-229731.84000000005</v>
      </c>
      <c r="E9" s="289">
        <f>-Assumptions!$B$64*Revenue!E10</f>
        <v>-265485.901824</v>
      </c>
      <c r="F9" s="289">
        <f>-Assumptions!$B$64*Revenue!F10</f>
        <v>-304406.55618048005</v>
      </c>
      <c r="G9" s="289">
        <f>-Assumptions!$B$64*Revenue!G10</f>
        <v>-357403.95660902414</v>
      </c>
      <c r="H9" s="289">
        <f>-Assumptions!$B$64*Revenue!H10</f>
        <v>-412149.83325666515</v>
      </c>
      <c r="I9" s="289">
        <f>-Assumptions!$B$64*Revenue!I10</f>
        <v>-428635.82658693183</v>
      </c>
      <c r="J9" s="289">
        <f>-Assumptions!$B$64*Revenue!J10</f>
        <v>-445781.25965040911</v>
      </c>
      <c r="K9" s="289">
        <f>-Assumptions!$B$64*Revenue!K10</f>
        <v>-463612.51003642549</v>
      </c>
    </row>
    <row r="10" spans="1:11" ht="15" customHeight="1" x14ac:dyDescent="0.2">
      <c r="A10" s="676" t="s">
        <v>186</v>
      </c>
      <c r="B10" s="289">
        <f>-Assumptions!$B$65*Revenue!B11</f>
        <v>-261360</v>
      </c>
      <c r="C10" s="289">
        <f>-Assumptions!$B$65*Revenue!C11</f>
        <v>-430185.60000000003</v>
      </c>
      <c r="D10" s="289">
        <f>-Assumptions!$B$65*Revenue!D11</f>
        <v>-613267.20000000007</v>
      </c>
      <c r="E10" s="289">
        <f>-Assumptions!$B$65*Revenue!E11</f>
        <v>-710689.07520000008</v>
      </c>
      <c r="F10" s="289">
        <f>-Assumptions!$B$65*Revenue!F11</f>
        <v>-814923.47289600025</v>
      </c>
      <c r="G10" s="289">
        <f>-Assumptions!$B$65*Revenue!G11</f>
        <v>-914533.65367603232</v>
      </c>
      <c r="H10" s="289">
        <f>-Assumptions!$B$65*Revenue!H11</f>
        <v>-951114.99982307351</v>
      </c>
      <c r="I10" s="289">
        <f>-Assumptions!$B$65*Revenue!I11</f>
        <v>-989159.5998159966</v>
      </c>
      <c r="J10" s="289">
        <f>-Assumptions!$B$65*Revenue!J11</f>
        <v>-1028725.9838086365</v>
      </c>
      <c r="K10" s="289">
        <f>-Assumptions!$B$65*Revenue!K11</f>
        <v>-1069875.0231609819</v>
      </c>
    </row>
    <row r="11" spans="1:11" ht="15" customHeight="1" x14ac:dyDescent="0.2">
      <c r="A11" s="210" t="s">
        <v>664</v>
      </c>
      <c r="B11" s="2">
        <f>-Assumptions!$B$62*Revenue!B9</f>
        <v>-269790</v>
      </c>
      <c r="C11" s="2">
        <f>-Assumptions!$B$62*Revenue!C9</f>
        <v>-434291.52</v>
      </c>
      <c r="D11" s="2">
        <f>-Assumptions!$B$62*Revenue!D9</f>
        <v>-616447.10400000005</v>
      </c>
      <c r="E11" s="2">
        <f>-Assumptions!$B$62*Revenue!E9</f>
        <v>-725085.08467200003</v>
      </c>
      <c r="F11" s="2">
        <f>-Assumptions!$B$62*Revenue!F9</f>
        <v>-821893.4901964803</v>
      </c>
      <c r="G11" s="2">
        <f>-Assumptions!$B$62*Revenue!G9</f>
        <v>-969275.73436661786</v>
      </c>
      <c r="H11" s="2">
        <f>-Assumptions!$B$62*Revenue!H9</f>
        <v>-1078765.443685024</v>
      </c>
      <c r="I11" s="2">
        <f>-Assumptions!$B$62*Revenue!I9</f>
        <v>-1121916.0614324252</v>
      </c>
      <c r="J11" s="2">
        <f>-Assumptions!$B$62*Revenue!J9</f>
        <v>-1166792.7038897222</v>
      </c>
      <c r="K11" s="2">
        <f>-Assumptions!$B$62*Revenue!K9</f>
        <v>-1213464.4120453112</v>
      </c>
    </row>
    <row r="12" spans="1:11" ht="15" customHeight="1" x14ac:dyDescent="0.2">
      <c r="A12" s="210" t="s">
        <v>665</v>
      </c>
      <c r="B12" s="2">
        <f>-Assumptions!$B$66*'Price List'!D10*12*'Price List'!C10*Revenue!B5*Revenue!B6</f>
        <v>-12000</v>
      </c>
      <c r="C12" s="2">
        <f>-Assumptions!$B$66*'Price List'!E10*12*'Price List'!C10*Revenue!C5*Revenue!C6</f>
        <v>-17472</v>
      </c>
      <c r="D12" s="2">
        <f>-Assumptions!$B$66*'Price List'!F10*12*'Price List'!C10*Revenue!D5*Revenue!D6</f>
        <v>-25958.400000000001</v>
      </c>
      <c r="E12" s="2">
        <f>-Assumptions!$B$66*'Price List'!G10*12*'Price List'!C10*Revenue!E5*Revenue!E6</f>
        <v>-29696.409600000006</v>
      </c>
      <c r="F12" s="2">
        <f>-Assumptions!$B$66*'Price List'!H10*12*'Price List'!C10*Revenue!F5*Revenue!F6</f>
        <v>-33691.926528000011</v>
      </c>
      <c r="G12" s="2">
        <f>-Assumptions!$B$66*'Price List'!I10*12*'Price List'!C10*Revenue!G5*Revenue!G6</f>
        <v>-40879.537520640013</v>
      </c>
      <c r="H12" s="2">
        <f>-Assumptions!$B$66*'Price List'!J10*12*'Price List'!C10*Revenue!H5*Revenue!H6</f>
        <v>-48588.250310246425</v>
      </c>
      <c r="I12" s="2">
        <f>-Assumptions!$B$66*'Price List'!K10*12*'Price List'!C10*Revenue!I5*Revenue!I6</f>
        <v>-50531.780322656283</v>
      </c>
      <c r="J12" s="2">
        <f>-Assumptions!$B$66*'Price List'!L10*12*'Price List'!C10*Revenue!J5*Revenue!J6</f>
        <v>-52553.051535562532</v>
      </c>
      <c r="K12" s="2">
        <f>-Assumptions!$B$66*'Price List'!M10*12*'Price List'!C10*Revenue!K5*Revenue!K6</f>
        <v>-54655.173596985042</v>
      </c>
    </row>
    <row r="13" spans="1:11" ht="15" customHeight="1" x14ac:dyDescent="0.2">
      <c r="A13" s="210" t="s">
        <v>666</v>
      </c>
      <c r="B13" s="2">
        <f>-Assumptions!$B$67*'Price List'!D9*12*'Price List'!C9*Revenue!B5*Revenue!B6</f>
        <v>-18900</v>
      </c>
      <c r="C13" s="2">
        <f>-Assumptions!$B$67*'Price List'!E9*12*'Price List'!C9*Revenue!C5*Revenue!C6</f>
        <v>-32760</v>
      </c>
      <c r="D13" s="2">
        <f>-Assumptions!$B$67*'Price List'!F9*12*'Price List'!C9*Revenue!D5*Revenue!D6</f>
        <v>-45427.200000000004</v>
      </c>
      <c r="E13" s="2">
        <f>-Assumptions!$B$67*'Price List'!G9*12*'Price List'!C9*Revenue!E5*Revenue!E6</f>
        <v>-54330.931200000006</v>
      </c>
      <c r="F13" s="2">
        <f>-Assumptions!$B$67*'Price List'!H9*12*'Price List'!C9*Revenue!F5*Revenue!F6</f>
        <v>-61417.574400000012</v>
      </c>
      <c r="G13" s="2">
        <f>-Assumptions!$B$67*'Price List'!I9*12*'Price List'!C9*Revenue!G5*Revenue!G6</f>
        <v>-71539.190661120025</v>
      </c>
      <c r="H13" s="2">
        <f>-Assumptions!$B$67*'Price List'!J9*12*'Price List'!C9*Revenue!H5*Revenue!H6</f>
        <v>-82372.268104089628</v>
      </c>
      <c r="I13" s="2">
        <f>-Assumptions!$B$67*'Price List'!K9*12*'Price List'!C9*Revenue!I5*Revenue!I6</f>
        <v>-85667.158828253218</v>
      </c>
      <c r="J13" s="2">
        <f>-Assumptions!$B$67*'Price List'!L9*12*'Price List'!C9*Revenue!J5*Revenue!J6</f>
        <v>-89093.845181383338</v>
      </c>
      <c r="K13" s="2">
        <f>-Assumptions!$B$67*'Price List'!M9*12*'Price List'!C9*Revenue!K5*Revenue!K6</f>
        <v>-92657.598988638681</v>
      </c>
    </row>
    <row r="14" spans="1:11" ht="15" customHeight="1" x14ac:dyDescent="0.2">
      <c r="A14" s="210" t="s">
        <v>667</v>
      </c>
      <c r="B14" s="2">
        <f>-Assumptions!$B$68*Revenue!B13</f>
        <v>-152904</v>
      </c>
      <c r="C14" s="2">
        <f>-Assumptions!$B$68*Revenue!C13</f>
        <v>-250536</v>
      </c>
      <c r="D14" s="2">
        <f>-Assumptions!$B$68*Revenue!D13</f>
        <v>-357070.77120000008</v>
      </c>
      <c r="E14" s="2">
        <f>-Assumptions!$B$68*Revenue!E13</f>
        <v>-414764.35353600013</v>
      </c>
      <c r="F14" s="2">
        <f>-Assumptions!$B$68*Revenue!F13</f>
        <v>-474789.43629312003</v>
      </c>
      <c r="G14" s="2">
        <f>-Assumptions!$B$68*Revenue!G13</f>
        <v>-552997.94381045771</v>
      </c>
      <c r="H14" s="2">
        <f>-Assumptions!$B$68*Revenue!H13</f>
        <v>-624404.56797133223</v>
      </c>
      <c r="I14" s="2">
        <f>-Assumptions!$B$68*Revenue!I13</f>
        <v>-649380.7506901857</v>
      </c>
      <c r="J14" s="2">
        <f>-Assumptions!$B$68*Revenue!J13</f>
        <v>-675355.98071779311</v>
      </c>
      <c r="K14" s="2">
        <f>-Assumptions!$B$68*Revenue!K13</f>
        <v>-702370.21994650469</v>
      </c>
    </row>
    <row r="15" spans="1:11" ht="15" customHeight="1" x14ac:dyDescent="0.2">
      <c r="A15" s="210" t="s">
        <v>668</v>
      </c>
      <c r="B15" s="2">
        <f>-Assumptions!$B$69*Revenue!B13</f>
        <v>-76452</v>
      </c>
      <c r="C15" s="2">
        <f>-Assumptions!$B$69*Revenue!C13</f>
        <v>-125268</v>
      </c>
      <c r="D15" s="2">
        <f>-Assumptions!$B$69*Revenue!D13</f>
        <v>-178535.38560000004</v>
      </c>
      <c r="E15" s="2">
        <f>-Assumptions!$B$69*Revenue!E13</f>
        <v>-207382.17676800006</v>
      </c>
      <c r="F15" s="2">
        <f>-Assumptions!$B$69*Revenue!F13</f>
        <v>-237394.71814656002</v>
      </c>
      <c r="G15" s="2">
        <f>-Assumptions!$B$69*Revenue!G13</f>
        <v>-276498.97190522886</v>
      </c>
      <c r="H15" s="2">
        <f>-Assumptions!$B$69*Revenue!H13</f>
        <v>-312202.28398566612</v>
      </c>
      <c r="I15" s="2">
        <f>-Assumptions!$B$69*Revenue!I13</f>
        <v>-324690.37534509285</v>
      </c>
      <c r="J15" s="2">
        <f>-Assumptions!$B$69*Revenue!J13</f>
        <v>-337677.99035889655</v>
      </c>
      <c r="K15" s="2">
        <f>-Assumptions!$B$69*Revenue!K13</f>
        <v>-351185.10997325234</v>
      </c>
    </row>
    <row r="16" spans="1:11" ht="15" customHeight="1" x14ac:dyDescent="0.2">
      <c r="A16" s="87" t="s">
        <v>669</v>
      </c>
      <c r="B16" s="88">
        <f t="shared" ref="B16:K16" si="0">SUM(B8:B15)</f>
        <v>-1106796</v>
      </c>
      <c r="C16" s="88">
        <f t="shared" si="0"/>
        <v>-1808283.36</v>
      </c>
      <c r="D16" s="88">
        <f t="shared" si="0"/>
        <v>-2576066.1888000001</v>
      </c>
      <c r="E16" s="88">
        <f t="shared" si="0"/>
        <v>-2998426.2297600005</v>
      </c>
      <c r="F16" s="88">
        <f t="shared" si="0"/>
        <v>-3426251.3342054402</v>
      </c>
      <c r="G16" s="88">
        <f t="shared" si="0"/>
        <v>-3977360.0032358412</v>
      </c>
      <c r="H16" s="88">
        <f t="shared" si="0"/>
        <v>-4426586.993030333</v>
      </c>
      <c r="I16" s="88">
        <f t="shared" si="0"/>
        <v>-4603650.4727515476</v>
      </c>
      <c r="J16" s="88">
        <f t="shared" si="0"/>
        <v>-4787796.4916616101</v>
      </c>
      <c r="K16" s="88">
        <f t="shared" si="0"/>
        <v>-4979308.351328074</v>
      </c>
    </row>
    <row r="17" spans="1:11" ht="15" customHeight="1" x14ac:dyDescent="0.2">
      <c r="A17" s="181"/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1" ht="15" customHeight="1" x14ac:dyDescent="0.2">
      <c r="A18" s="210" t="s">
        <v>670</v>
      </c>
      <c r="B18" s="2">
        <f>IF(Assumptions!$B$126=1,-'Patient Acquisition'!B95,-Assumptions!$B$71*Revenue!B13)</f>
        <v>-1529040</v>
      </c>
      <c r="C18" s="2">
        <f>IF(Assumptions!$B$126=1,-'Patient Acquisition'!C95,-Assumptions!$B$71*Revenue!C13)</f>
        <v>-1989935.3988682916</v>
      </c>
      <c r="D18" s="2">
        <f>IF(Assumptions!$B$126=1,-'Patient Acquisition'!D95,-Assumptions!$B$71*Revenue!D13)</f>
        <v>-2585251.6292292671</v>
      </c>
      <c r="E18" s="2">
        <f>IF(Assumptions!$B$126=1,-'Patient Acquisition'!E95,-Assumptions!$B$71*Revenue!E13)</f>
        <v>-2297361.9106113818</v>
      </c>
      <c r="F18" s="2">
        <f>IF(Assumptions!$B$126=1,-'Patient Acquisition'!F95,-Assumptions!$B$71*Revenue!F13)</f>
        <v>-2437952.6238356084</v>
      </c>
      <c r="G18" s="2">
        <f>IF(Assumptions!$B$126=1,-'Patient Acquisition'!G95,-Assumptions!$B$71*Revenue!G13)</f>
        <v>-2774128.7226190898</v>
      </c>
      <c r="H18" s="2">
        <f>IF(Assumptions!$B$126=1,-'Patient Acquisition'!H95,-Assumptions!$B$71*Revenue!H13)</f>
        <v>-3001678.2622661111</v>
      </c>
      <c r="I18" s="2">
        <f>IF(Assumptions!$B$126=1,-'Patient Acquisition'!I95,-Assumptions!$B$71*Revenue!I13)</f>
        <v>-2537580.1078887149</v>
      </c>
      <c r="J18" s="2">
        <f>IF(Assumptions!$B$126=1,-'Patient Acquisition'!J95,-Assumptions!$B$71*Revenue!J13)</f>
        <v>-2363582.1620199718</v>
      </c>
      <c r="K18" s="2">
        <f>IF(Assumptions!$B$126=1,-'Patient Acquisition'!K95,-Assumptions!$B$71*Revenue!K13)</f>
        <v>-2186689.9623324694</v>
      </c>
    </row>
    <row r="19" spans="1:11" ht="15" customHeight="1" x14ac:dyDescent="0.2">
      <c r="A19" s="107" t="s">
        <v>671</v>
      </c>
      <c r="B19" s="108">
        <f>IF(SUM(Assumptions!B234:M234)&gt;0,ABS(B18)/SUM(Assumptions!B234:M234),1)</f>
        <v>3.8229185765480462</v>
      </c>
      <c r="C19" s="108">
        <f>IF(B19&gt;0,B19*Assumptions!C242/Assumptions!B242,1)</f>
        <v>8.4912209316465184</v>
      </c>
      <c r="D19" s="108">
        <f>IF(B19&gt;0,B19*Assumptions!D242/Assumptions!B242,1)</f>
        <v>11.127476025300957</v>
      </c>
      <c r="E19" s="108">
        <f>IF(B19&gt;0,B19*Assumptions!E242/Assumptions!B242,1)</f>
        <v>10.33638785717091</v>
      </c>
      <c r="F19" s="108">
        <f>IF(B19&gt;0,B19*Assumptions!F242/Assumptions!B242,1)</f>
        <v>10.408585198191805</v>
      </c>
      <c r="G19" s="108">
        <f>IF(B19&gt;0,B19*Assumptions!G242/Assumptions!B242,1)</f>
        <v>11.002735707684765</v>
      </c>
      <c r="H19" s="108">
        <f>IF(B19&gt;0,B19*Assumptions!H242/Assumptions!B242,1)</f>
        <v>10.98512945255192</v>
      </c>
      <c r="I19" s="108">
        <f>IF(B19&gt;0,B19*Assumptions!I242/Assumptions!B242,1)</f>
        <v>10.690884913644279</v>
      </c>
      <c r="J19" s="108">
        <f>IF(B19&gt;0,B19*Assumptions!J242/Assumptions!B242,1)</f>
        <v>10.690884913644281</v>
      </c>
      <c r="K19" s="108">
        <f>IF(B19&gt;0,B19*Assumptions!K242/Assumptions!B242,1)</f>
        <v>10.690884913644281</v>
      </c>
    </row>
    <row r="20" spans="1:11" ht="15" customHeight="1" x14ac:dyDescent="0.2">
      <c r="A20" s="107" t="s">
        <v>672</v>
      </c>
      <c r="B20" s="109">
        <f>-SUM(Assumptions!B234:M234)</f>
        <v>-399966.66666666663</v>
      </c>
      <c r="C20" s="109">
        <f>B20*Assumptions!C242/Assumptions!B242*(1+Assumptions!$B$47)^1</f>
        <v>-923915.45216446486</v>
      </c>
      <c r="D20" s="109">
        <f>B20*Assumptions!D242/Assumptions!B242*(1+Assumptions!$B$47)^2</f>
        <v>-1259192.4072132821</v>
      </c>
      <c r="E20" s="109">
        <f>B20*Assumptions!E242/Assumptions!B242*(1+Assumptions!$B$47)^3</f>
        <v>-1216459.2510731127</v>
      </c>
      <c r="F20" s="109">
        <f>B20*Assumptions!F242/Assumptions!B242*(1+Assumptions!$B$47)^4</f>
        <v>-1273954.1827452425</v>
      </c>
      <c r="G20" s="109">
        <f>B20*Assumptions!G242/Assumptions!B242*(1+Assumptions!$B$47)^5</f>
        <v>-1400541.9704914093</v>
      </c>
      <c r="H20" s="109">
        <f>B20*Assumptions!H242/Assumptions!B242*(1+Assumptions!$B$47)^6</f>
        <v>-1454232.8988587859</v>
      </c>
      <c r="I20" s="109">
        <f>B20*Assumptions!I242/Assumptions!B242*(1+Assumptions!$B$47)^7</f>
        <v>-1471891.4412020708</v>
      </c>
      <c r="J20" s="109">
        <f>B20*Assumptions!J242/Assumptions!B242*(1+Assumptions!$B$47)^8</f>
        <v>-1530767.0988501543</v>
      </c>
      <c r="K20" s="109">
        <f>B20*Assumptions!K242/Assumptions!B242*(1+Assumptions!$B$47)^9</f>
        <v>-1591997.7828041606</v>
      </c>
    </row>
    <row r="21" spans="1:11" ht="15" customHeight="1" x14ac:dyDescent="0.2">
      <c r="A21" s="210" t="s">
        <v>175</v>
      </c>
      <c r="B21" s="2">
        <f>-(Assumptions!$B$54+Assumptions!$B$59*MAX(0,1-(1-1)/Assumptions!$B$60))*Revenue!B8</f>
        <v>-1304820.0000000002</v>
      </c>
      <c r="C21" s="2">
        <f>-(Assumptions!$B$54+Assumptions!$B$59*MAX(0,1-(2-1)/Assumptions!$B$60))*Revenue!C8</f>
        <v>-2384512.0000000005</v>
      </c>
      <c r="D21" s="2">
        <f>-(Assumptions!$B$54+Assumptions!$B$59*MAX(0,1-(3-1)/Assumptions!$B$60))*Revenue!D8</f>
        <v>-3737274.1120000011</v>
      </c>
      <c r="E21" s="2">
        <f>-(Assumptions!$B$54+Assumptions!$B$59*MAX(0,1-(4-1)/Assumptions!$B$60))*Revenue!E8</f>
        <v>-4727938.3756800015</v>
      </c>
      <c r="F21" s="2">
        <f>-(Assumptions!$B$54+Assumptions!$B$59*MAX(0,1-(5-1)/Assumptions!$B$60))*Revenue!F8</f>
        <v>-5421873.2765184008</v>
      </c>
      <c r="G21" s="2">
        <f>-(Assumptions!$B$54+Assumptions!$B$59*MAX(0,1-(6-1)/Assumptions!$B$60))*Revenue!G8</f>
        <v>-6353848.1174937617</v>
      </c>
      <c r="H21" s="2">
        <f>-(Assumptions!$B$54+Assumptions!$B$59*MAX(0,1-(7-1)/Assumptions!$B$60))*Revenue!H8</f>
        <v>-7335914.7671538927</v>
      </c>
      <c r="I21" s="2">
        <f>-(Assumptions!$B$54+Assumptions!$B$59*MAX(0,1-(8-1)/Assumptions!$B$60))*Revenue!I8</f>
        <v>-7629351.3578400481</v>
      </c>
      <c r="J21" s="2">
        <f>-(Assumptions!$B$54+Assumptions!$B$59*MAX(0,1-(9-1)/Assumptions!$B$60))*Revenue!J8</f>
        <v>-7934525.4121536501</v>
      </c>
      <c r="K21" s="2">
        <f>-(Assumptions!$B$54+Assumptions!$B$59*MAX(0,1-(10-1)/Assumptions!$B$60))*Revenue!K8</f>
        <v>-8251906.4286397956</v>
      </c>
    </row>
    <row r="22" spans="1:11" ht="15" customHeight="1" x14ac:dyDescent="0.2">
      <c r="A22" s="210" t="s">
        <v>453</v>
      </c>
      <c r="B22" s="2">
        <f>-(Assumptions!$B$55+Assumptions!$B$59*MAX(0,1-(1-1)/Assumptions!$B$60))*Revenue!B9</f>
        <v>-351900.00000000006</v>
      </c>
      <c r="C22" s="2">
        <f>-(Assumptions!$B$55+Assumptions!$B$59*MAX(0,1-(2-1)/Assumptions!$B$60))*Revenue!C9</f>
        <v>-629408.00000000012</v>
      </c>
      <c r="D22" s="2">
        <f>-(Assumptions!$B$55+Assumptions!$B$59*MAX(0,1-(3-1)/Assumptions!$B$60))*Revenue!D9</f>
        <v>-982741.76000000013</v>
      </c>
      <c r="E22" s="2">
        <f>-(Assumptions!$B$55+Assumptions!$B$59*MAX(0,1-(4-1)/Assumptions!$B$60))*Revenue!E9</f>
        <v>-1261017.5385600002</v>
      </c>
      <c r="F22" s="2">
        <f>-(Assumptions!$B$55+Assumptions!$B$59*MAX(0,1-(5-1)/Assumptions!$B$60))*Revenue!F9</f>
        <v>-1429379.9829504006</v>
      </c>
      <c r="G22" s="2">
        <f>-(Assumptions!$B$55+Assumptions!$B$59*MAX(0,1-(6-1)/Assumptions!$B$60))*Revenue!G9</f>
        <v>-1685696.9293332484</v>
      </c>
      <c r="H22" s="2">
        <f>-(Assumptions!$B$55+Assumptions!$B$59*MAX(0,1-(7-1)/Assumptions!$B$60))*Revenue!H9</f>
        <v>-1876113.8151043896</v>
      </c>
      <c r="I22" s="2">
        <f>-(Assumptions!$B$55+Assumptions!$B$59*MAX(0,1-(8-1)/Assumptions!$B$60))*Revenue!I9</f>
        <v>-1951158.3677085654</v>
      </c>
      <c r="J22" s="2">
        <f>-(Assumptions!$B$55+Assumptions!$B$59*MAX(0,1-(9-1)/Assumptions!$B$60))*Revenue!J9</f>
        <v>-2029204.702416908</v>
      </c>
      <c r="K22" s="2">
        <f>-(Assumptions!$B$55+Assumptions!$B$59*MAX(0,1-(10-1)/Assumptions!$B$60))*Revenue!K9</f>
        <v>-2110372.8905135845</v>
      </c>
    </row>
    <row r="23" spans="1:11" ht="15" customHeight="1" x14ac:dyDescent="0.2">
      <c r="A23" s="210" t="s">
        <v>456</v>
      </c>
      <c r="B23" s="2">
        <f>-(Assumptions!$B$57+Assumptions!$B$59*MAX(0,1-(1-1)/Assumptions!$B$60))*Revenue!B10</f>
        <v>-244800.00000000003</v>
      </c>
      <c r="C23" s="2">
        <f>-(Assumptions!$B$57+Assumptions!$B$59*MAX(0,1-(2-1)/Assumptions!$B$60))*Revenue!C10</f>
        <v>-444704.00000000006</v>
      </c>
      <c r="D23" s="2">
        <f>-(Assumptions!$B$57+Assumptions!$B$59*MAX(0,1-(3-1)/Assumptions!$B$60))*Revenue!D10</f>
        <v>-701958.40000000026</v>
      </c>
      <c r="E23" s="2">
        <f>-(Assumptions!$B$57+Assumptions!$B$59*MAX(0,1-(4-1)/Assumptions!$B$60))*Revenue!E10</f>
        <v>-884953.0060800002</v>
      </c>
      <c r="F23" s="2">
        <f>-(Assumptions!$B$57+Assumptions!$B$59*MAX(0,1-(5-1)/Assumptions!$B$60))*Revenue!F10</f>
        <v>-1014688.5206016003</v>
      </c>
      <c r="G23" s="2">
        <f>-(Assumptions!$B$57+Assumptions!$B$59*MAX(0,1-(6-1)/Assumptions!$B$60))*Revenue!G10</f>
        <v>-1191346.5220300804</v>
      </c>
      <c r="H23" s="2">
        <f>-(Assumptions!$B$57+Assumptions!$B$59*MAX(0,1-(7-1)/Assumptions!$B$60))*Revenue!H10</f>
        <v>-1373832.7775222175</v>
      </c>
      <c r="I23" s="2">
        <f>-(Assumptions!$B$57+Assumptions!$B$59*MAX(0,1-(8-1)/Assumptions!$B$60))*Revenue!I10</f>
        <v>-1428786.0886231062</v>
      </c>
      <c r="J23" s="2">
        <f>-(Assumptions!$B$57+Assumptions!$B$59*MAX(0,1-(9-1)/Assumptions!$B$60))*Revenue!J10</f>
        <v>-1485937.5321680305</v>
      </c>
      <c r="K23" s="2">
        <f>-(Assumptions!$B$57+Assumptions!$B$59*MAX(0,1-(10-1)/Assumptions!$B$60))*Revenue!K10</f>
        <v>-1545375.0334547518</v>
      </c>
    </row>
    <row r="24" spans="1:11" ht="15" customHeight="1" x14ac:dyDescent="0.2">
      <c r="A24" s="210" t="s">
        <v>176</v>
      </c>
      <c r="B24" s="2">
        <f>-(Assumptions!$B$56+Assumptions!$B$59*MAX(0,1-(1-1)/Assumptions!$B$60))*Revenue!B11</f>
        <v>-392040.00000000006</v>
      </c>
      <c r="C24" s="2">
        <f>-(Assumptions!$B$56+Assumptions!$B$59*MAX(0,1-(2-1)/Assumptions!$B$60))*Revenue!C11</f>
        <v>-716976.00000000012</v>
      </c>
      <c r="D24" s="2">
        <f>-(Assumptions!$B$56+Assumptions!$B$59*MAX(0,1-(3-1)/Assumptions!$B$60))*Revenue!D11</f>
        <v>-1124323.2000000002</v>
      </c>
      <c r="E24" s="2">
        <f>-(Assumptions!$B$56+Assumptions!$B$59*MAX(0,1-(4-1)/Assumptions!$B$60))*Revenue!E11</f>
        <v>-1421378.1504000002</v>
      </c>
      <c r="F24" s="2">
        <f>-(Assumptions!$B$56+Assumptions!$B$59*MAX(0,1-(5-1)/Assumptions!$B$60))*Revenue!F11</f>
        <v>-1629846.9457920005</v>
      </c>
      <c r="G24" s="2">
        <f>-(Assumptions!$B$56+Assumptions!$B$59*MAX(0,1-(6-1)/Assumptions!$B$60))*Revenue!G11</f>
        <v>-1829067.3073520646</v>
      </c>
      <c r="H24" s="2">
        <f>-(Assumptions!$B$56+Assumptions!$B$59*MAX(0,1-(7-1)/Assumptions!$B$60))*Revenue!H11</f>
        <v>-1902229.999646147</v>
      </c>
      <c r="I24" s="2">
        <f>-(Assumptions!$B$56+Assumptions!$B$59*MAX(0,1-(8-1)/Assumptions!$B$60))*Revenue!I11</f>
        <v>-1978319.1996319932</v>
      </c>
      <c r="J24" s="2">
        <f>-(Assumptions!$B$56+Assumptions!$B$59*MAX(0,1-(9-1)/Assumptions!$B$60))*Revenue!J11</f>
        <v>-2057451.9676172731</v>
      </c>
      <c r="K24" s="2">
        <f>-(Assumptions!$B$56+Assumptions!$B$59*MAX(0,1-(10-1)/Assumptions!$B$60))*Revenue!K11</f>
        <v>-2139750.0463219639</v>
      </c>
    </row>
    <row r="25" spans="1:11" ht="15" customHeight="1" x14ac:dyDescent="0.2">
      <c r="A25" s="87" t="s">
        <v>673</v>
      </c>
      <c r="B25" s="88">
        <f t="shared" ref="B25:K25" si="1">SUM(B21:B24)</f>
        <v>-2293560.0000000005</v>
      </c>
      <c r="C25" s="88">
        <f t="shared" si="1"/>
        <v>-4175600.0000000005</v>
      </c>
      <c r="D25" s="88">
        <f t="shared" si="1"/>
        <v>-6546297.4720000019</v>
      </c>
      <c r="E25" s="88">
        <f t="shared" si="1"/>
        <v>-8295287.0707200021</v>
      </c>
      <c r="F25" s="88">
        <f t="shared" si="1"/>
        <v>-9495788.7258624025</v>
      </c>
      <c r="G25" s="88">
        <f t="shared" si="1"/>
        <v>-11059958.876209155</v>
      </c>
      <c r="H25" s="88">
        <f t="shared" si="1"/>
        <v>-12488091.359426647</v>
      </c>
      <c r="I25" s="88">
        <f t="shared" si="1"/>
        <v>-12987615.013803713</v>
      </c>
      <c r="J25" s="88">
        <f t="shared" si="1"/>
        <v>-13507119.614355862</v>
      </c>
      <c r="K25" s="88">
        <f t="shared" si="1"/>
        <v>-14047404.398930095</v>
      </c>
    </row>
    <row r="26" spans="1:11" ht="15" customHeight="1" x14ac:dyDescent="0.2">
      <c r="A26" s="210" t="s">
        <v>674</v>
      </c>
      <c r="B26" s="86">
        <f>'Staffing Detail'!B24</f>
        <v>-528000</v>
      </c>
      <c r="C26" s="86">
        <f>'Staffing Detail'!C24</f>
        <v>-673920</v>
      </c>
      <c r="D26" s="86">
        <f>'Staffing Detail'!D24</f>
        <v>-700876.80000000005</v>
      </c>
      <c r="E26" s="86">
        <f>'Staffing Detail'!E24</f>
        <v>-728911.87199999997</v>
      </c>
      <c r="F26" s="86">
        <f>'Staffing Detail'!F24</f>
        <v>-758068.34688000008</v>
      </c>
      <c r="G26" s="86">
        <f>'Staffing Detail'!G24</f>
        <v>-788391.08075520024</v>
      </c>
      <c r="H26" s="86">
        <f>'Staffing Detail'!H24</f>
        <v>-819926.72398540832</v>
      </c>
      <c r="I26" s="86">
        <f>'Staffing Detail'!I24</f>
        <v>-852723.79294482444</v>
      </c>
      <c r="J26" s="86">
        <f>'Staffing Detail'!J24</f>
        <v>-886832.74466261757</v>
      </c>
      <c r="K26" s="86">
        <f>'Staffing Detail'!K24</f>
        <v>-922306.05444912252</v>
      </c>
    </row>
    <row r="27" spans="1:11" ht="15" customHeight="1" x14ac:dyDescent="0.2">
      <c r="A27" s="210" t="s">
        <v>675</v>
      </c>
      <c r="B27" s="2">
        <f>-Assumptions!$D$99*B5</f>
        <v>-1538000</v>
      </c>
      <c r="C27" s="2">
        <f>-Assumptions!$D$99*C5</f>
        <v>-1599520</v>
      </c>
      <c r="D27" s="2">
        <f>-Assumptions!$D$99*D5</f>
        <v>-1663500.8000000003</v>
      </c>
      <c r="E27" s="2">
        <f>-Assumptions!$D$99*E5</f>
        <v>-1730040.8320000002</v>
      </c>
      <c r="F27" s="2">
        <f>-Assumptions!$D$99*F5</f>
        <v>-1799242.4652800004</v>
      </c>
      <c r="G27" s="2">
        <f>-Assumptions!$D$99*G5</f>
        <v>-1871212.1638912004</v>
      </c>
      <c r="H27" s="2">
        <f>-Assumptions!$D$99*H5</f>
        <v>-1946060.6504468485</v>
      </c>
      <c r="I27" s="2">
        <f>-Assumptions!$D$99*I5</f>
        <v>-2023903.0764647226</v>
      </c>
      <c r="J27" s="2">
        <f>-Assumptions!$D$99*J5</f>
        <v>-2104859.1995233116</v>
      </c>
      <c r="K27" s="2">
        <f>-Assumptions!$D$99*K5</f>
        <v>-2189053.5675042444</v>
      </c>
    </row>
    <row r="28" spans="1:11" ht="15" customHeight="1" x14ac:dyDescent="0.2">
      <c r="A28" s="210" t="s">
        <v>676</v>
      </c>
      <c r="B28" s="2">
        <f>-Assumptions!$B$73*Revenue!B13</f>
        <v>-152904</v>
      </c>
      <c r="C28" s="2">
        <f>-Assumptions!$B$73*Revenue!C13</f>
        <v>-250536</v>
      </c>
      <c r="D28" s="2">
        <f>-Assumptions!$B$73*Revenue!D13</f>
        <v>-357070.77120000008</v>
      </c>
      <c r="E28" s="2">
        <f>-Assumptions!$B$73*Revenue!E13</f>
        <v>-414764.35353600013</v>
      </c>
      <c r="F28" s="2">
        <f>-Assumptions!$B$73*Revenue!F13</f>
        <v>-474789.43629312003</v>
      </c>
      <c r="G28" s="2">
        <f>-Assumptions!$B$73*Revenue!G13</f>
        <v>-552997.94381045771</v>
      </c>
      <c r="H28" s="2">
        <f>-Assumptions!$B$73*Revenue!H13</f>
        <v>-624404.56797133223</v>
      </c>
      <c r="I28" s="2">
        <f>-Assumptions!$B$73*Revenue!I13</f>
        <v>-649380.7506901857</v>
      </c>
      <c r="J28" s="2">
        <f>-Assumptions!$B$73*Revenue!J13</f>
        <v>-675355.98071779311</v>
      </c>
      <c r="K28" s="2">
        <f>-Assumptions!$B$73*Revenue!K13</f>
        <v>-702370.21994650469</v>
      </c>
    </row>
    <row r="29" spans="1:11" ht="15" customHeight="1" x14ac:dyDescent="0.2">
      <c r="A29" s="210" t="s">
        <v>677</v>
      </c>
      <c r="B29" s="2">
        <f>-Assumptions!$D$9*Assumptions!$D$12*B5</f>
        <v>-818400</v>
      </c>
      <c r="C29" s="2">
        <f>-Assumptions!$D$9*Assumptions!$D$12*C5</f>
        <v>-851136</v>
      </c>
      <c r="D29" s="2">
        <f>-Assumptions!$D$9*Assumptions!$D$12*D5</f>
        <v>-885181.44000000006</v>
      </c>
      <c r="E29" s="2">
        <f>-Assumptions!$D$9*Assumptions!$D$12*E5</f>
        <v>-920588.69760000007</v>
      </c>
      <c r="F29" s="2">
        <f>-Assumptions!$D$9*Assumptions!$D$12*F5</f>
        <v>-957412.24550400022</v>
      </c>
      <c r="G29" s="2">
        <f>-Assumptions!$D$9*Assumptions!$D$12*G5</f>
        <v>-995708.73532416031</v>
      </c>
      <c r="H29" s="2">
        <f>-Assumptions!$D$9*Assumptions!$D$12*H5</f>
        <v>-1035537.0847371267</v>
      </c>
      <c r="I29" s="2">
        <f>-Assumptions!$D$9*Assumptions!$D$12*I5</f>
        <v>-1076958.5681266119</v>
      </c>
      <c r="J29" s="2">
        <f>-Assumptions!$D$9*Assumptions!$D$12*J5</f>
        <v>-1120036.9108516762</v>
      </c>
      <c r="K29" s="2">
        <f>-Assumptions!$D$9*Assumptions!$D$12*K5</f>
        <v>-1164838.3872857434</v>
      </c>
    </row>
    <row r="30" spans="1:11" ht="15" customHeight="1" x14ac:dyDescent="0.2">
      <c r="A30" s="222" t="s">
        <v>678</v>
      </c>
      <c r="B30" s="223">
        <f>-IF(Assumptions!$B$6=2,Revenue!B13*Assumptions!$B$123*(1+Assumptions!$B$124)^0,0)</f>
        <v>0</v>
      </c>
      <c r="C30" s="223">
        <f>-IF(Assumptions!$B$6=2,Revenue!C13*Assumptions!$B$123*(1+Assumptions!$B$124)^1,0)</f>
        <v>0</v>
      </c>
      <c r="D30" s="223">
        <f>-IF(Assumptions!$B$6=2,Revenue!D13*Assumptions!$B$123*(1+Assumptions!$B$124)^2,0)</f>
        <v>0</v>
      </c>
      <c r="E30" s="223">
        <f>-IF(Assumptions!$B$6=2,Revenue!E13*Assumptions!$B$123*(1+Assumptions!$B$124)^3,0)</f>
        <v>0</v>
      </c>
      <c r="F30" s="223">
        <f>-IF(Assumptions!$B$6=2,Revenue!F13*Assumptions!$B$123*(1+Assumptions!$B$124)^4,0)</f>
        <v>0</v>
      </c>
      <c r="G30" s="223">
        <f>-IF(Assumptions!$B$6=2,Revenue!G13*Assumptions!$B$123*(1+Assumptions!$B$124)^5,0)</f>
        <v>0</v>
      </c>
      <c r="H30" s="223">
        <f>-IF(Assumptions!$B$6=2,Revenue!H13*Assumptions!$B$123*(1+Assumptions!$B$124)^6,0)</f>
        <v>0</v>
      </c>
      <c r="I30" s="223">
        <f>-IF(Assumptions!$B$6=2,Revenue!I13*Assumptions!$B$123*(1+Assumptions!$B$124)^7,0)</f>
        <v>0</v>
      </c>
      <c r="J30" s="223">
        <f>-IF(Assumptions!$B$6=2,Revenue!J13*Assumptions!$B$123*(1+Assumptions!$B$124)^8,0)</f>
        <v>0</v>
      </c>
      <c r="K30" s="223">
        <f>-IF(Assumptions!$B$6=2,Revenue!K13*Assumptions!$B$123*(1+Assumptions!$B$124)^9,0)</f>
        <v>0</v>
      </c>
    </row>
    <row r="31" spans="1:11" ht="15" customHeight="1" x14ac:dyDescent="0.2">
      <c r="A31" s="87" t="s">
        <v>679</v>
      </c>
      <c r="B31" s="88">
        <f t="shared" ref="B31:K31" si="2">B16+B18+B25+B26+B27+B28+B29+B30</f>
        <v>-7966700</v>
      </c>
      <c r="C31" s="88">
        <f t="shared" si="2"/>
        <v>-11348930.758868292</v>
      </c>
      <c r="D31" s="88">
        <f t="shared" si="2"/>
        <v>-15314245.101229269</v>
      </c>
      <c r="E31" s="88">
        <f t="shared" si="2"/>
        <v>-17385380.966227386</v>
      </c>
      <c r="F31" s="88">
        <f t="shared" si="2"/>
        <v>-19349505.177860573</v>
      </c>
      <c r="G31" s="88">
        <f t="shared" si="2"/>
        <v>-22019757.525845107</v>
      </c>
      <c r="H31" s="88">
        <f t="shared" si="2"/>
        <v>-24342285.641863808</v>
      </c>
      <c r="I31" s="88">
        <f t="shared" si="2"/>
        <v>-24731811.782670323</v>
      </c>
      <c r="J31" s="88">
        <f t="shared" si="2"/>
        <v>-25445583.103792842</v>
      </c>
      <c r="K31" s="88">
        <f t="shared" si="2"/>
        <v>-26191970.941776253</v>
      </c>
    </row>
    <row r="32" spans="1:11" ht="15" customHeight="1" x14ac:dyDescent="0.2">
      <c r="A32" s="210" t="s">
        <v>680</v>
      </c>
      <c r="B32" s="352">
        <f>B31/Revenue!B13</f>
        <v>-1.0420525296918328</v>
      </c>
      <c r="C32" s="352">
        <f>C31/Revenue!C13</f>
        <v>-0.90597205662006997</v>
      </c>
      <c r="D32" s="352">
        <f>D31/Revenue!D13</f>
        <v>-0.8577708586879299</v>
      </c>
      <c r="E32" s="352">
        <f>E31/Revenue!E13</f>
        <v>-0.83832570557288244</v>
      </c>
      <c r="F32" s="352">
        <f>F31/Revenue!F13</f>
        <v>-0.81507732475811867</v>
      </c>
      <c r="G32" s="352">
        <f>G31/Revenue!G13</f>
        <v>-0.79637755519005937</v>
      </c>
      <c r="H32" s="352">
        <f>H31/Revenue!H13</f>
        <v>-0.77969595004568948</v>
      </c>
      <c r="I32" s="352">
        <f>I31/Revenue!I13</f>
        <v>-0.76170449328485479</v>
      </c>
      <c r="J32" s="352">
        <f>J31/Revenue!J13</f>
        <v>-0.75354579896511298</v>
      </c>
      <c r="K32" s="352">
        <f>K31/Revenue!K13</f>
        <v>-0.74581667040983424</v>
      </c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5623"/>
  </sheetPr>
  <dimension ref="A1:K31"/>
  <sheetViews>
    <sheetView zoomScale="133" zoomScaleNormal="100" workbookViewId="0">
      <selection activeCell="M24" sqref="M24"/>
    </sheetView>
  </sheetViews>
  <sheetFormatPr baseColWidth="10" defaultColWidth="8.6640625" defaultRowHeight="15" x14ac:dyDescent="0.2"/>
  <cols>
    <col min="1" max="1" width="38" customWidth="1"/>
    <col min="2" max="11" width="14" customWidth="1"/>
  </cols>
  <sheetData>
    <row r="1" spans="1:11" ht="27.75" customHeight="1" x14ac:dyDescent="0.2">
      <c r="A1" s="677" t="s">
        <v>681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</row>
    <row r="3" spans="1:11" ht="21.75" customHeight="1" x14ac:dyDescent="0.2">
      <c r="A3" s="253" t="s">
        <v>662</v>
      </c>
      <c r="B3" s="254" t="s">
        <v>566</v>
      </c>
      <c r="C3" s="254" t="s">
        <v>567</v>
      </c>
      <c r="D3" s="254" t="s">
        <v>568</v>
      </c>
      <c r="E3" s="254" t="s">
        <v>569</v>
      </c>
      <c r="F3" s="254" t="s">
        <v>570</v>
      </c>
      <c r="G3" s="254" t="s">
        <v>571</v>
      </c>
      <c r="H3" s="254" t="s">
        <v>572</v>
      </c>
      <c r="I3" s="254" t="s">
        <v>573</v>
      </c>
      <c r="J3" s="254" t="s">
        <v>574</v>
      </c>
      <c r="K3" s="254" t="s">
        <v>575</v>
      </c>
    </row>
    <row r="4" spans="1:11" ht="15" customHeight="1" x14ac:dyDescent="0.2">
      <c r="A4" s="210" t="s">
        <v>33</v>
      </c>
      <c r="B4" s="110">
        <f>Revenue!B13</f>
        <v>7645200</v>
      </c>
      <c r="C4" s="110">
        <f>Revenue!C13</f>
        <v>12526800</v>
      </c>
      <c r="D4" s="110">
        <f>Revenue!D13</f>
        <v>17853538.560000002</v>
      </c>
      <c r="E4" s="110">
        <f>Revenue!E13</f>
        <v>20738217.676800005</v>
      </c>
      <c r="F4" s="110">
        <f>Revenue!F13</f>
        <v>23739471.814656001</v>
      </c>
      <c r="G4" s="110">
        <f>Revenue!G13</f>
        <v>27649897.190522887</v>
      </c>
      <c r="H4" s="110">
        <f>Revenue!H13</f>
        <v>31220228.398566611</v>
      </c>
      <c r="I4" s="110">
        <f>Revenue!I13</f>
        <v>32469037.534509283</v>
      </c>
      <c r="J4" s="110">
        <f>Revenue!J13</f>
        <v>33767799.035889655</v>
      </c>
      <c r="K4" s="110">
        <f>Revenue!K13</f>
        <v>35118510.997325234</v>
      </c>
    </row>
    <row r="5" spans="1:11" ht="15" customHeight="1" x14ac:dyDescent="0.2">
      <c r="A5" s="210" t="s">
        <v>663</v>
      </c>
      <c r="B5" s="110">
        <f>OpEx!B16</f>
        <v>-1106796</v>
      </c>
      <c r="C5" s="110">
        <f>OpEx!C16</f>
        <v>-1808283.36</v>
      </c>
      <c r="D5" s="110">
        <f>OpEx!D16</f>
        <v>-2576066.1888000001</v>
      </c>
      <c r="E5" s="110">
        <f>OpEx!E16</f>
        <v>-2998426.2297600005</v>
      </c>
      <c r="F5" s="110">
        <f>OpEx!F16</f>
        <v>-3426251.3342054402</v>
      </c>
      <c r="G5" s="110">
        <f>OpEx!G16</f>
        <v>-3977360.0032358412</v>
      </c>
      <c r="H5" s="110">
        <f>OpEx!H16</f>
        <v>-4426586.993030333</v>
      </c>
      <c r="I5" s="110">
        <f>OpEx!I16</f>
        <v>-4603650.4727515476</v>
      </c>
      <c r="J5" s="110">
        <f>OpEx!J16</f>
        <v>-4787796.4916616101</v>
      </c>
      <c r="K5" s="110">
        <f>OpEx!K16</f>
        <v>-4979308.351328074</v>
      </c>
    </row>
    <row r="6" spans="1:11" ht="15" customHeight="1" x14ac:dyDescent="0.2">
      <c r="A6" s="181"/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11" ht="15" customHeight="1" x14ac:dyDescent="0.2">
      <c r="A7" s="87" t="s">
        <v>682</v>
      </c>
      <c r="B7" s="112">
        <f t="shared" ref="B7:K7" si="0">B4+B5</f>
        <v>6538404</v>
      </c>
      <c r="C7" s="112">
        <f t="shared" si="0"/>
        <v>10718516.640000001</v>
      </c>
      <c r="D7" s="112">
        <f t="shared" si="0"/>
        <v>15277472.371200003</v>
      </c>
      <c r="E7" s="112">
        <f t="shared" si="0"/>
        <v>17739791.447040007</v>
      </c>
      <c r="F7" s="112">
        <f t="shared" si="0"/>
        <v>20313220.480450559</v>
      </c>
      <c r="G7" s="112">
        <f t="shared" si="0"/>
        <v>23672537.187287048</v>
      </c>
      <c r="H7" s="112">
        <f t="shared" si="0"/>
        <v>26793641.405536279</v>
      </c>
      <c r="I7" s="112">
        <f t="shared" si="0"/>
        <v>27865387.061757736</v>
      </c>
      <c r="J7" s="112">
        <f t="shared" si="0"/>
        <v>28980002.544228047</v>
      </c>
      <c r="K7" s="112">
        <f t="shared" si="0"/>
        <v>30139202.645997159</v>
      </c>
    </row>
    <row r="8" spans="1:11" ht="15" customHeight="1" x14ac:dyDescent="0.2">
      <c r="A8" s="83" t="s">
        <v>683</v>
      </c>
      <c r="B8" s="84">
        <f t="shared" ref="B8:K8" si="1">B7/B4</f>
        <v>0.85522994820279385</v>
      </c>
      <c r="C8" s="84">
        <f t="shared" si="1"/>
        <v>0.85564682440846829</v>
      </c>
      <c r="D8" s="84">
        <f t="shared" si="1"/>
        <v>0.85571117007742359</v>
      </c>
      <c r="E8" s="84">
        <f t="shared" si="1"/>
        <v>0.85541543268135523</v>
      </c>
      <c r="F8" s="84">
        <f t="shared" si="1"/>
        <v>0.85567280683598945</v>
      </c>
      <c r="G8" s="84">
        <f t="shared" si="1"/>
        <v>0.85615281041265157</v>
      </c>
      <c r="H8" s="84">
        <f t="shared" si="1"/>
        <v>0.85821413807358415</v>
      </c>
      <c r="I8" s="84">
        <f t="shared" si="1"/>
        <v>0.85821413807358415</v>
      </c>
      <c r="J8" s="84">
        <f t="shared" si="1"/>
        <v>0.85821413807358415</v>
      </c>
      <c r="K8" s="84">
        <f t="shared" si="1"/>
        <v>0.85821413807358404</v>
      </c>
    </row>
    <row r="9" spans="1:11" ht="15" customHeight="1" x14ac:dyDescent="0.2">
      <c r="A9" s="181"/>
      <c r="B9" s="111"/>
      <c r="C9" s="111"/>
      <c r="D9" s="111"/>
      <c r="E9" s="111"/>
      <c r="F9" s="111"/>
      <c r="G9" s="111"/>
      <c r="H9" s="111"/>
      <c r="I9" s="111"/>
      <c r="J9" s="111"/>
      <c r="K9" s="111"/>
    </row>
    <row r="10" spans="1:11" ht="15" customHeight="1" x14ac:dyDescent="0.2">
      <c r="A10" s="210" t="s">
        <v>670</v>
      </c>
      <c r="B10" s="110">
        <f>OpEx!B18</f>
        <v>-1529040</v>
      </c>
      <c r="C10" s="110">
        <f>OpEx!C18</f>
        <v>-1989935.3988682916</v>
      </c>
      <c r="D10" s="110">
        <f>OpEx!D18</f>
        <v>-2585251.6292292671</v>
      </c>
      <c r="E10" s="110">
        <f>OpEx!E18</f>
        <v>-2297361.9106113818</v>
      </c>
      <c r="F10" s="110">
        <f>OpEx!F18</f>
        <v>-2437952.6238356084</v>
      </c>
      <c r="G10" s="110">
        <f>OpEx!G18</f>
        <v>-2774128.7226190898</v>
      </c>
      <c r="H10" s="110">
        <f>OpEx!H18</f>
        <v>-3001678.2622661111</v>
      </c>
      <c r="I10" s="110">
        <f>OpEx!I18</f>
        <v>-2537580.1078887149</v>
      </c>
      <c r="J10" s="110">
        <f>OpEx!J18</f>
        <v>-2363582.1620199718</v>
      </c>
      <c r="K10" s="110">
        <f>OpEx!K18</f>
        <v>-2186689.9623324694</v>
      </c>
    </row>
    <row r="11" spans="1:11" ht="15" customHeight="1" x14ac:dyDescent="0.2">
      <c r="A11" s="210" t="s">
        <v>684</v>
      </c>
      <c r="B11" s="110">
        <f>OpEx!B25</f>
        <v>-2293560.0000000005</v>
      </c>
      <c r="C11" s="110">
        <f>OpEx!C25</f>
        <v>-4175600.0000000005</v>
      </c>
      <c r="D11" s="110">
        <f>OpEx!D25</f>
        <v>-6546297.4720000019</v>
      </c>
      <c r="E11" s="110">
        <f>OpEx!E25</f>
        <v>-8295287.0707200021</v>
      </c>
      <c r="F11" s="110">
        <f>OpEx!F25</f>
        <v>-9495788.7258624025</v>
      </c>
      <c r="G11" s="110">
        <f>OpEx!G25</f>
        <v>-11059958.876209155</v>
      </c>
      <c r="H11" s="110">
        <f>OpEx!H25</f>
        <v>-12488091.359426647</v>
      </c>
      <c r="I11" s="110">
        <f>OpEx!I25</f>
        <v>-12987615.013803713</v>
      </c>
      <c r="J11" s="110">
        <f>OpEx!J25</f>
        <v>-13507119.614355862</v>
      </c>
      <c r="K11" s="110">
        <f>OpEx!K25</f>
        <v>-14047404.398930095</v>
      </c>
    </row>
    <row r="12" spans="1:11" ht="15" customHeight="1" x14ac:dyDescent="0.2">
      <c r="A12" s="210" t="s">
        <v>685</v>
      </c>
      <c r="B12" s="111">
        <f>OpEx!B26</f>
        <v>-528000</v>
      </c>
      <c r="C12" s="111">
        <f>OpEx!C26</f>
        <v>-673920</v>
      </c>
      <c r="D12" s="111">
        <f>OpEx!D26</f>
        <v>-700876.80000000005</v>
      </c>
      <c r="E12" s="111">
        <f>OpEx!E26</f>
        <v>-728911.87199999997</v>
      </c>
      <c r="F12" s="111">
        <f>OpEx!F26</f>
        <v>-758068.34688000008</v>
      </c>
      <c r="G12" s="111">
        <f>OpEx!G26</f>
        <v>-788391.08075520024</v>
      </c>
      <c r="H12" s="111">
        <f>OpEx!H26</f>
        <v>-819926.72398540832</v>
      </c>
      <c r="I12" s="111">
        <f>OpEx!I26</f>
        <v>-852723.79294482444</v>
      </c>
      <c r="J12" s="111">
        <f>OpEx!J26</f>
        <v>-886832.74466261757</v>
      </c>
      <c r="K12" s="111">
        <f>OpEx!K26</f>
        <v>-922306.05444912252</v>
      </c>
    </row>
    <row r="13" spans="1:11" ht="15" customHeight="1" x14ac:dyDescent="0.2">
      <c r="A13" s="8" t="s">
        <v>686</v>
      </c>
      <c r="B13" s="113">
        <f t="shared" ref="B13:K13" si="2">B7+B10+B11+B12</f>
        <v>2187803.9999999995</v>
      </c>
      <c r="C13" s="113">
        <f t="shared" si="2"/>
        <v>3879061.241131708</v>
      </c>
      <c r="D13" s="113">
        <f t="shared" si="2"/>
        <v>5445046.4699707348</v>
      </c>
      <c r="E13" s="113">
        <f t="shared" si="2"/>
        <v>6418230.5937086232</v>
      </c>
      <c r="F13" s="113">
        <f t="shared" si="2"/>
        <v>7621410.7838725485</v>
      </c>
      <c r="G13" s="113">
        <f t="shared" si="2"/>
        <v>9050058.5077036023</v>
      </c>
      <c r="H13" s="113">
        <f t="shared" si="2"/>
        <v>10483945.059858114</v>
      </c>
      <c r="I13" s="113">
        <f t="shared" si="2"/>
        <v>11487468.147120485</v>
      </c>
      <c r="J13" s="113">
        <f t="shared" si="2"/>
        <v>12222468.023189595</v>
      </c>
      <c r="K13" s="113">
        <f t="shared" si="2"/>
        <v>12982802.230285473</v>
      </c>
    </row>
    <row r="14" spans="1:11" ht="15" customHeight="1" x14ac:dyDescent="0.2">
      <c r="A14" s="83" t="s">
        <v>687</v>
      </c>
      <c r="B14" s="84">
        <f t="shared" ref="B14:K14" si="3">B13/B4</f>
        <v>0.28616700674933288</v>
      </c>
      <c r="C14" s="84">
        <f t="shared" si="3"/>
        <v>0.30966098613626047</v>
      </c>
      <c r="D14" s="84">
        <f t="shared" si="3"/>
        <v>0.30498416051650962</v>
      </c>
      <c r="E14" s="84">
        <f t="shared" si="3"/>
        <v>0.30948805214291603</v>
      </c>
      <c r="F14" s="84">
        <f t="shared" si="3"/>
        <v>0.3210438228523404</v>
      </c>
      <c r="G14" s="84">
        <f t="shared" si="3"/>
        <v>0.32730893881245771</v>
      </c>
      <c r="H14" s="84">
        <f t="shared" si="3"/>
        <v>0.33580616150583492</v>
      </c>
      <c r="I14" s="84">
        <f t="shared" si="3"/>
        <v>0.35379761826666967</v>
      </c>
      <c r="J14" s="84">
        <f t="shared" si="3"/>
        <v>0.36195631258641131</v>
      </c>
      <c r="K14" s="84">
        <f t="shared" si="3"/>
        <v>0.36968544114169005</v>
      </c>
    </row>
    <row r="15" spans="1:11" ht="15" customHeight="1" x14ac:dyDescent="0.2">
      <c r="A15" s="181"/>
      <c r="B15" s="111"/>
      <c r="C15" s="111"/>
      <c r="D15" s="111"/>
      <c r="E15" s="111"/>
      <c r="F15" s="111"/>
      <c r="G15" s="111"/>
      <c r="H15" s="111"/>
      <c r="I15" s="111"/>
      <c r="J15" s="111"/>
      <c r="K15" s="111"/>
    </row>
    <row r="16" spans="1:11" ht="15" customHeight="1" x14ac:dyDescent="0.2">
      <c r="A16" s="210" t="s">
        <v>675</v>
      </c>
      <c r="B16" s="110">
        <f>OpEx!B27</f>
        <v>-1538000</v>
      </c>
      <c r="C16" s="110">
        <f>OpEx!C27</f>
        <v>-1599520</v>
      </c>
      <c r="D16" s="110">
        <f>OpEx!D27</f>
        <v>-1663500.8000000003</v>
      </c>
      <c r="E16" s="110">
        <f>OpEx!E27</f>
        <v>-1730040.8320000002</v>
      </c>
      <c r="F16" s="110">
        <f>OpEx!F27</f>
        <v>-1799242.4652800004</v>
      </c>
      <c r="G16" s="110">
        <f>OpEx!G27</f>
        <v>-1871212.1638912004</v>
      </c>
      <c r="H16" s="110">
        <f>OpEx!H27</f>
        <v>-1946060.6504468485</v>
      </c>
      <c r="I16" s="110">
        <f>OpEx!I27</f>
        <v>-2023903.0764647226</v>
      </c>
      <c r="J16" s="110">
        <f>OpEx!J27</f>
        <v>-2104859.1995233116</v>
      </c>
      <c r="K16" s="110">
        <f>OpEx!K27</f>
        <v>-2189053.5675042444</v>
      </c>
    </row>
    <row r="17" spans="1:11" ht="15" customHeight="1" x14ac:dyDescent="0.2">
      <c r="A17" s="210" t="s">
        <v>676</v>
      </c>
      <c r="B17" s="110">
        <f>OpEx!B28</f>
        <v>-152904</v>
      </c>
      <c r="C17" s="110">
        <f>OpEx!C28</f>
        <v>-250536</v>
      </c>
      <c r="D17" s="110">
        <f>OpEx!D28</f>
        <v>-357070.77120000008</v>
      </c>
      <c r="E17" s="110">
        <f>OpEx!E28</f>
        <v>-414764.35353600013</v>
      </c>
      <c r="F17" s="110">
        <f>OpEx!F28</f>
        <v>-474789.43629312003</v>
      </c>
      <c r="G17" s="110">
        <f>OpEx!G28</f>
        <v>-552997.94381045771</v>
      </c>
      <c r="H17" s="110">
        <f>OpEx!H28</f>
        <v>-624404.56797133223</v>
      </c>
      <c r="I17" s="110">
        <f>OpEx!I28</f>
        <v>-649380.7506901857</v>
      </c>
      <c r="J17" s="110">
        <f>OpEx!J28</f>
        <v>-675355.98071779311</v>
      </c>
      <c r="K17" s="110">
        <f>OpEx!K28</f>
        <v>-702370.21994650469</v>
      </c>
    </row>
    <row r="18" spans="1:11" ht="15" customHeight="1" x14ac:dyDescent="0.2">
      <c r="A18" s="210" t="s">
        <v>677</v>
      </c>
      <c r="B18" s="110">
        <f>OpEx!B29</f>
        <v>-818400</v>
      </c>
      <c r="C18" s="110">
        <f>OpEx!C29</f>
        <v>-851136</v>
      </c>
      <c r="D18" s="110">
        <f>OpEx!D29</f>
        <v>-885181.44000000006</v>
      </c>
      <c r="E18" s="110">
        <f>OpEx!E29</f>
        <v>-920588.69760000007</v>
      </c>
      <c r="F18" s="110">
        <f>OpEx!F29</f>
        <v>-957412.24550400022</v>
      </c>
      <c r="G18" s="110">
        <f>OpEx!G29</f>
        <v>-995708.73532416031</v>
      </c>
      <c r="H18" s="110">
        <f>OpEx!H29</f>
        <v>-1035537.0847371267</v>
      </c>
      <c r="I18" s="110">
        <f>OpEx!I29</f>
        <v>-1076958.5681266119</v>
      </c>
      <c r="J18" s="110">
        <f>OpEx!J29</f>
        <v>-1120036.9108516762</v>
      </c>
      <c r="K18" s="110">
        <f>OpEx!K29</f>
        <v>-1164838.3872857434</v>
      </c>
    </row>
    <row r="19" spans="1:11" ht="15" customHeight="1" x14ac:dyDescent="0.2">
      <c r="A19" s="222" t="s">
        <v>688</v>
      </c>
      <c r="B19" s="102">
        <f>OpEx!B30</f>
        <v>0</v>
      </c>
      <c r="C19" s="102">
        <f>OpEx!C30</f>
        <v>0</v>
      </c>
      <c r="D19" s="102">
        <f>OpEx!D30</f>
        <v>0</v>
      </c>
      <c r="E19" s="102">
        <f>OpEx!E30</f>
        <v>0</v>
      </c>
      <c r="F19" s="102">
        <f>OpEx!F30</f>
        <v>0</v>
      </c>
      <c r="G19" s="102">
        <f>OpEx!G30</f>
        <v>0</v>
      </c>
      <c r="H19" s="102">
        <f>OpEx!H30</f>
        <v>0</v>
      </c>
      <c r="I19" s="102">
        <f>OpEx!I30</f>
        <v>0</v>
      </c>
      <c r="J19" s="102">
        <f>OpEx!J30</f>
        <v>0</v>
      </c>
      <c r="K19" s="102">
        <f>OpEx!K30</f>
        <v>0</v>
      </c>
    </row>
    <row r="20" spans="1:11" ht="15" customHeight="1" x14ac:dyDescent="0.2">
      <c r="A20" s="87" t="s">
        <v>34</v>
      </c>
      <c r="B20" s="112">
        <f t="shared" ref="B20:K20" si="4">B13+B16+B17+B18+B19</f>
        <v>-321500.00000000047</v>
      </c>
      <c r="C20" s="112">
        <f t="shared" si="4"/>
        <v>1177869.241131708</v>
      </c>
      <c r="D20" s="112">
        <f t="shared" si="4"/>
        <v>2539293.4587707347</v>
      </c>
      <c r="E20" s="112">
        <f t="shared" si="4"/>
        <v>3352836.7105726223</v>
      </c>
      <c r="F20" s="112">
        <f t="shared" si="4"/>
        <v>4389966.6367954286</v>
      </c>
      <c r="G20" s="112">
        <f t="shared" si="4"/>
        <v>5630139.6646777848</v>
      </c>
      <c r="H20" s="112">
        <f t="shared" si="4"/>
        <v>6877942.7567028059</v>
      </c>
      <c r="I20" s="112">
        <f t="shared" si="4"/>
        <v>7737225.7518389653</v>
      </c>
      <c r="J20" s="112">
        <f t="shared" si="4"/>
        <v>8322215.9320968147</v>
      </c>
      <c r="K20" s="112">
        <f t="shared" si="4"/>
        <v>8926540.0555489808</v>
      </c>
    </row>
    <row r="21" spans="1:11" ht="15" customHeight="1" x14ac:dyDescent="0.2">
      <c r="A21" s="87" t="s">
        <v>35</v>
      </c>
      <c r="B21" s="103">
        <f t="shared" ref="B21:K21" si="5">B20/B4</f>
        <v>-4.2052529691832846E-2</v>
      </c>
      <c r="C21" s="103">
        <f t="shared" si="5"/>
        <v>9.4027943379930076E-2</v>
      </c>
      <c r="D21" s="103">
        <f t="shared" si="5"/>
        <v>0.14222914131207021</v>
      </c>
      <c r="E21" s="103">
        <f t="shared" si="5"/>
        <v>0.16167429442711775</v>
      </c>
      <c r="F21" s="103">
        <f t="shared" si="5"/>
        <v>0.18492267524188141</v>
      </c>
      <c r="G21" s="103">
        <f t="shared" si="5"/>
        <v>0.20362244480994085</v>
      </c>
      <c r="H21" s="103">
        <f t="shared" si="5"/>
        <v>0.22030404995431063</v>
      </c>
      <c r="I21" s="103">
        <f t="shared" si="5"/>
        <v>0.23829550671514541</v>
      </c>
      <c r="J21" s="103">
        <f t="shared" si="5"/>
        <v>0.24645420103488708</v>
      </c>
      <c r="K21" s="103">
        <f t="shared" si="5"/>
        <v>0.25418332959016576</v>
      </c>
    </row>
    <row r="22" spans="1:11" ht="15" customHeight="1" x14ac:dyDescent="0.2">
      <c r="A22" s="181"/>
      <c r="B22" s="111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1:11" ht="15" customHeight="1" x14ac:dyDescent="0.2">
      <c r="A23" s="210" t="s">
        <v>689</v>
      </c>
      <c r="B23" s="110">
        <f>IF(1&lt;=Assumptions!$D$26,CapEx!$D$59/Assumptions!$D$26,0)</f>
        <v>673714.28571428568</v>
      </c>
      <c r="C23" s="110">
        <f>IF(2&lt;=Assumptions!$D$26,CapEx!$D$59/Assumptions!$D$26,0)</f>
        <v>673714.28571428568</v>
      </c>
      <c r="D23" s="110">
        <f>IF(3&lt;=Assumptions!$D$26,CapEx!$D$59/Assumptions!$D$26,0)</f>
        <v>673714.28571428568</v>
      </c>
      <c r="E23" s="110">
        <f>IF(4&lt;=Assumptions!$D$26,CapEx!$D$59/Assumptions!$D$26,0)</f>
        <v>673714.28571428568</v>
      </c>
      <c r="F23" s="110">
        <f>IF(5&lt;=Assumptions!$D$26,CapEx!$D$59/Assumptions!$D$26,0)</f>
        <v>673714.28571428568</v>
      </c>
      <c r="G23" s="110">
        <f>IF(6&lt;=Assumptions!$D$26,CapEx!$D$59/Assumptions!$D$26,0)</f>
        <v>673714.28571428568</v>
      </c>
      <c r="H23" s="110">
        <f>IF(7&lt;=Assumptions!$D$26,CapEx!$D$59/Assumptions!$D$26,0)</f>
        <v>673714.28571428568</v>
      </c>
      <c r="I23" s="110">
        <f>IF(8&lt;=Assumptions!$D$26,CapEx!$D$59/Assumptions!$D$26,0)</f>
        <v>0</v>
      </c>
      <c r="J23" s="110">
        <f>IF(9&lt;=Assumptions!$D$26,CapEx!$D$59/Assumptions!$D$26,0)</f>
        <v>0</v>
      </c>
      <c r="K23" s="110">
        <f>IF(10&lt;=Assumptions!$D$26,CapEx!$D$59/Assumptions!$D$26,0)</f>
        <v>0</v>
      </c>
    </row>
    <row r="24" spans="1:11" ht="15" customHeight="1" x14ac:dyDescent="0.2">
      <c r="A24" s="181"/>
      <c r="B24" s="111"/>
      <c r="C24" s="111"/>
      <c r="D24" s="111"/>
      <c r="E24" s="111"/>
      <c r="F24" s="111"/>
      <c r="G24" s="111"/>
      <c r="H24" s="111"/>
      <c r="I24" s="111"/>
      <c r="J24" s="111"/>
      <c r="K24" s="111"/>
    </row>
    <row r="25" spans="1:11" ht="15" customHeight="1" x14ac:dyDescent="0.2">
      <c r="A25" s="8" t="s">
        <v>690</v>
      </c>
      <c r="B25" s="113">
        <f t="shared" ref="B25:K25" si="6">B20-B23</f>
        <v>-995214.28571428615</v>
      </c>
      <c r="C25" s="113">
        <f t="shared" si="6"/>
        <v>504154.95541742234</v>
      </c>
      <c r="D25" s="113">
        <f t="shared" si="6"/>
        <v>1865579.173056449</v>
      </c>
      <c r="E25" s="113">
        <f t="shared" si="6"/>
        <v>2679122.4248583363</v>
      </c>
      <c r="F25" s="113">
        <f t="shared" si="6"/>
        <v>3716252.3510811431</v>
      </c>
      <c r="G25" s="113">
        <f t="shared" si="6"/>
        <v>4956425.3789634993</v>
      </c>
      <c r="H25" s="113">
        <f t="shared" si="6"/>
        <v>6204228.4709885204</v>
      </c>
      <c r="I25" s="113">
        <f t="shared" si="6"/>
        <v>7737225.7518389653</v>
      </c>
      <c r="J25" s="113">
        <f t="shared" si="6"/>
        <v>8322215.9320968147</v>
      </c>
      <c r="K25" s="113">
        <f t="shared" si="6"/>
        <v>8926540.0555489808</v>
      </c>
    </row>
    <row r="26" spans="1:11" ht="15" customHeight="1" x14ac:dyDescent="0.2">
      <c r="A26" s="210" t="s">
        <v>691</v>
      </c>
      <c r="B26" s="110">
        <f>-IF(B25&gt;Assumptions!$B$50,(B25-Assumptions!$B$50)*Assumptions!$B$49,0)</f>
        <v>0</v>
      </c>
      <c r="C26" s="110">
        <f>-IF(C25&gt;Assumptions!$B$50,(C25-Assumptions!$B$50)*Assumptions!$B$49,0)</f>
        <v>-11623.945987568011</v>
      </c>
      <c r="D26" s="110">
        <f>-IF(D25&gt;Assumptions!$B$50,(D25-Assumptions!$B$50)*Assumptions!$B$49,0)</f>
        <v>-134152.1255750804</v>
      </c>
      <c r="E26" s="110">
        <f>-IF(E25&gt;Assumptions!$B$50,(E25-Assumptions!$B$50)*Assumptions!$B$49,0)</f>
        <v>-207371.01823725027</v>
      </c>
      <c r="F26" s="110">
        <f>-IF(F25&gt;Assumptions!$B$50,(F25-Assumptions!$B$50)*Assumptions!$B$49,0)</f>
        <v>-300712.71159730287</v>
      </c>
      <c r="G26" s="110">
        <f>-IF(G25&gt;Assumptions!$B$50,(G25-Assumptions!$B$50)*Assumptions!$B$49,0)</f>
        <v>-412328.28410671494</v>
      </c>
      <c r="H26" s="110">
        <f>-IF(H25&gt;Assumptions!$B$50,(H25-Assumptions!$B$50)*Assumptions!$B$49,0)</f>
        <v>-524630.56238896679</v>
      </c>
      <c r="I26" s="110">
        <f>-IF(I25&gt;Assumptions!$B$50,(I25-Assumptions!$B$50)*Assumptions!$B$49,0)</f>
        <v>-662600.31766550685</v>
      </c>
      <c r="J26" s="110">
        <f>-IF(J25&gt;Assumptions!$B$50,(J25-Assumptions!$B$50)*Assumptions!$B$49,0)</f>
        <v>-715249.43388871325</v>
      </c>
      <c r="K26" s="110">
        <f>-IF(K25&gt;Assumptions!$B$50,(K25-Assumptions!$B$50)*Assumptions!$B$49,0)</f>
        <v>-769638.60499940824</v>
      </c>
    </row>
    <row r="27" spans="1:11" ht="15" customHeight="1" x14ac:dyDescent="0.2">
      <c r="A27" s="181"/>
      <c r="B27" s="111"/>
      <c r="C27" s="111"/>
      <c r="D27" s="111"/>
      <c r="E27" s="111"/>
      <c r="F27" s="111"/>
      <c r="G27" s="111"/>
      <c r="H27" s="111"/>
      <c r="I27" s="111"/>
      <c r="J27" s="111"/>
      <c r="K27" s="111"/>
    </row>
    <row r="28" spans="1:11" ht="15" customHeight="1" x14ac:dyDescent="0.2">
      <c r="A28" s="8" t="s">
        <v>692</v>
      </c>
      <c r="B28" s="113">
        <f t="shared" ref="B28:K28" si="7">B25+B26</f>
        <v>-995214.28571428615</v>
      </c>
      <c r="C28" s="113">
        <f t="shared" si="7"/>
        <v>492531.00942985434</v>
      </c>
      <c r="D28" s="113">
        <f t="shared" si="7"/>
        <v>1731427.0474813688</v>
      </c>
      <c r="E28" s="113">
        <f t="shared" si="7"/>
        <v>2471751.4066210859</v>
      </c>
      <c r="F28" s="113">
        <f t="shared" si="7"/>
        <v>3415539.6394838402</v>
      </c>
      <c r="G28" s="113">
        <f t="shared" si="7"/>
        <v>4544097.0948567847</v>
      </c>
      <c r="H28" s="113">
        <f t="shared" si="7"/>
        <v>5679597.9085995536</v>
      </c>
      <c r="I28" s="113">
        <f t="shared" si="7"/>
        <v>7074625.4341734583</v>
      </c>
      <c r="J28" s="113">
        <f t="shared" si="7"/>
        <v>7606966.4982081018</v>
      </c>
      <c r="K28" s="113">
        <f t="shared" si="7"/>
        <v>8156901.4505495727</v>
      </c>
    </row>
    <row r="29" spans="1:11" ht="15" customHeight="1" x14ac:dyDescent="0.2">
      <c r="A29" s="83" t="s">
        <v>693</v>
      </c>
      <c r="B29" s="84">
        <f t="shared" ref="B29:K29" si="8">B28/B4</f>
        <v>-0.13017504914381392</v>
      </c>
      <c r="C29" s="84">
        <f t="shared" si="8"/>
        <v>3.931818257095622E-2</v>
      </c>
      <c r="D29" s="84">
        <f t="shared" si="8"/>
        <v>9.6979489061095603E-2</v>
      </c>
      <c r="E29" s="84">
        <f t="shared" si="8"/>
        <v>0.11918822751032516</v>
      </c>
      <c r="F29" s="84">
        <f t="shared" si="8"/>
        <v>0.1438759744172233</v>
      </c>
      <c r="G29" s="84">
        <f t="shared" si="8"/>
        <v>0.16434408647328685</v>
      </c>
      <c r="H29" s="84">
        <f t="shared" si="8"/>
        <v>0.18192044709257529</v>
      </c>
      <c r="I29" s="84">
        <f t="shared" si="8"/>
        <v>0.21788836292588862</v>
      </c>
      <c r="J29" s="84">
        <f t="shared" si="8"/>
        <v>0.22527279584088791</v>
      </c>
      <c r="K29" s="84">
        <f t="shared" si="8"/>
        <v>0.23226786156083995</v>
      </c>
    </row>
    <row r="30" spans="1:11" ht="15" customHeight="1" x14ac:dyDescent="0.2">
      <c r="A30" s="181"/>
      <c r="B30" s="111"/>
      <c r="C30" s="111"/>
      <c r="D30" s="111"/>
      <c r="E30" s="111"/>
      <c r="F30" s="111"/>
      <c r="G30" s="111"/>
      <c r="H30" s="111"/>
      <c r="I30" s="111"/>
      <c r="J30" s="111"/>
      <c r="K30" s="111"/>
    </row>
    <row r="31" spans="1:11" ht="15" customHeight="1" x14ac:dyDescent="0.2">
      <c r="A31" s="8" t="s">
        <v>694</v>
      </c>
      <c r="B31" s="113">
        <f t="shared" ref="B31:K31" si="9">B28+B23</f>
        <v>-321500.00000000047</v>
      </c>
      <c r="C31" s="113">
        <f t="shared" si="9"/>
        <v>1166245.29514414</v>
      </c>
      <c r="D31" s="113">
        <f t="shared" si="9"/>
        <v>2405141.3331956547</v>
      </c>
      <c r="E31" s="113">
        <f t="shared" si="9"/>
        <v>3145465.6923353719</v>
      </c>
      <c r="F31" s="113">
        <f t="shared" si="9"/>
        <v>4089253.9251981257</v>
      </c>
      <c r="G31" s="113">
        <f t="shared" si="9"/>
        <v>5217811.3805710701</v>
      </c>
      <c r="H31" s="113">
        <f t="shared" si="9"/>
        <v>6353312.1943138391</v>
      </c>
      <c r="I31" s="113">
        <f t="shared" si="9"/>
        <v>7074625.4341734583</v>
      </c>
      <c r="J31" s="113">
        <f t="shared" si="9"/>
        <v>7606966.4982081018</v>
      </c>
      <c r="K31" s="113">
        <f t="shared" si="9"/>
        <v>8156901.4505495727</v>
      </c>
    </row>
  </sheetData>
  <mergeCells count="1">
    <mergeCell ref="A1:K1"/>
  </mergeCells>
  <pageMargins left="0.75" right="0.75" top="1" bottom="1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N30"/>
  <sheetViews>
    <sheetView zoomScale="167" zoomScaleNormal="100" workbookViewId="0">
      <selection activeCell="M30" sqref="M30"/>
    </sheetView>
  </sheetViews>
  <sheetFormatPr baseColWidth="10" defaultColWidth="8.6640625" defaultRowHeight="15" x14ac:dyDescent="0.2"/>
  <cols>
    <col min="1" max="1" width="38" customWidth="1"/>
    <col min="2" max="14" width="11" customWidth="1"/>
  </cols>
  <sheetData>
    <row r="1" spans="1:14" ht="27.75" customHeight="1" x14ac:dyDescent="0.2">
      <c r="A1" s="677" t="s">
        <v>695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</row>
    <row r="3" spans="1:14" ht="21.75" customHeight="1" x14ac:dyDescent="0.2">
      <c r="A3" s="253" t="s">
        <v>662</v>
      </c>
      <c r="B3" s="254" t="s">
        <v>696</v>
      </c>
      <c r="C3" s="254" t="s">
        <v>697</v>
      </c>
      <c r="D3" s="254" t="s">
        <v>698</v>
      </c>
      <c r="E3" s="254" t="s">
        <v>699</v>
      </c>
      <c r="F3" s="254" t="s">
        <v>700</v>
      </c>
      <c r="G3" s="254" t="s">
        <v>701</v>
      </c>
      <c r="H3" s="254" t="s">
        <v>702</v>
      </c>
      <c r="I3" s="254" t="s">
        <v>703</v>
      </c>
      <c r="J3" s="254" t="s">
        <v>704</v>
      </c>
      <c r="K3" s="254" t="s">
        <v>705</v>
      </c>
      <c r="L3" s="254" t="s">
        <v>706</v>
      </c>
      <c r="M3" s="254" t="s">
        <v>707</v>
      </c>
      <c r="N3" s="254" t="s">
        <v>708</v>
      </c>
    </row>
    <row r="4" spans="1:14" ht="15" customHeight="1" x14ac:dyDescent="0.2">
      <c r="A4" s="47" t="s">
        <v>709</v>
      </c>
      <c r="B4" s="114">
        <f>Assumptions!B233</f>
        <v>8.3333333333333329E-2</v>
      </c>
      <c r="C4" s="114">
        <f>Assumptions!C233</f>
        <v>0.16666666666666671</v>
      </c>
      <c r="D4" s="114">
        <f>Assumptions!D233</f>
        <v>0.25</v>
      </c>
      <c r="E4" s="114">
        <f>Assumptions!E233</f>
        <v>0.33333333333333331</v>
      </c>
      <c r="F4" s="114">
        <f>Assumptions!F233</f>
        <v>0.41666666666666669</v>
      </c>
      <c r="G4" s="114">
        <f>Assumptions!G233</f>
        <v>0.5</v>
      </c>
      <c r="H4" s="114">
        <f>Assumptions!H233</f>
        <v>0.58333333333333337</v>
      </c>
      <c r="I4" s="114">
        <f>Assumptions!I233</f>
        <v>0.66666666666666663</v>
      </c>
      <c r="J4" s="114">
        <f>Assumptions!J233</f>
        <v>0.75</v>
      </c>
      <c r="K4" s="114">
        <f>Assumptions!K233</f>
        <v>0.83333333333333337</v>
      </c>
      <c r="L4" s="114">
        <f>Assumptions!L233</f>
        <v>0.91666666666666663</v>
      </c>
      <c r="M4" s="114">
        <f>Assumptions!M233</f>
        <v>1</v>
      </c>
      <c r="N4" s="115">
        <f>AVERAGE(B4:M4)</f>
        <v>0.54166666666666663</v>
      </c>
    </row>
    <row r="5" spans="1:14" ht="15" customHeight="1" x14ac:dyDescent="0.2">
      <c r="A5" s="47" t="s">
        <v>710</v>
      </c>
      <c r="B5" s="69">
        <f>Assumptions!B235</f>
        <v>1.1339999999999999</v>
      </c>
      <c r="C5" s="69">
        <f>Assumptions!C235</f>
        <v>1.1950000000000001</v>
      </c>
      <c r="D5" s="69">
        <f>Assumptions!D235</f>
        <v>1.016</v>
      </c>
      <c r="E5" s="69">
        <f>Assumptions!E235</f>
        <v>1.0109999999999999</v>
      </c>
      <c r="F5" s="69">
        <f>Assumptions!F235</f>
        <v>0.93700000000000006</v>
      </c>
      <c r="G5" s="69">
        <f>Assumptions!G235</f>
        <v>0.73</v>
      </c>
      <c r="H5" s="69">
        <f>Assumptions!H235</f>
        <v>0.78600000000000003</v>
      </c>
      <c r="I5" s="69">
        <f>Assumptions!I235</f>
        <v>0.78600000000000003</v>
      </c>
      <c r="J5" s="69">
        <f>Assumptions!J235</f>
        <v>0.88500000000000001</v>
      </c>
      <c r="K5" s="69">
        <f>Assumptions!K235</f>
        <v>1.105</v>
      </c>
      <c r="L5" s="69">
        <f>Assumptions!L235</f>
        <v>1.177</v>
      </c>
      <c r="M5" s="69">
        <f>Assumptions!M235</f>
        <v>1.2390000000000001</v>
      </c>
      <c r="N5" s="69">
        <f>AVERAGE(B5:M5)</f>
        <v>1.0000833333333332</v>
      </c>
    </row>
    <row r="6" spans="1:14" ht="15" customHeight="1" x14ac:dyDescent="0.2">
      <c r="A6" s="210" t="s">
        <v>33</v>
      </c>
      <c r="B6" s="110">
        <f>'P&amp;L'!B4/12*(B4/N4)*B5</f>
        <v>111149.44615384615</v>
      </c>
      <c r="C6" s="110">
        <f>'P&amp;L'!B4/12*(C4/N4)*C5</f>
        <v>234256.76923076934</v>
      </c>
      <c r="D6" s="110">
        <f>'P&amp;L'!B4/12*(D4/N4)*D5</f>
        <v>298750.89230769232</v>
      </c>
      <c r="E6" s="110">
        <f>'P&amp;L'!B4/12*(E4/N4)*E5</f>
        <v>396374.21538461535</v>
      </c>
      <c r="F6" s="110">
        <f>'P&amp;L'!B4/12*(F4/N4)*F5</f>
        <v>459202.07692307699</v>
      </c>
      <c r="G6" s="110">
        <f>'P&amp;L'!B4/12*(G4/N4)*G5</f>
        <v>429307.38461538462</v>
      </c>
      <c r="H6" s="110">
        <f>'P&amp;L'!B4/12*(H4/N4)*H5</f>
        <v>539280.64615384617</v>
      </c>
      <c r="I6" s="110">
        <f>'P&amp;L'!B4/12*(I4/N4)*I5</f>
        <v>616320.73846153857</v>
      </c>
      <c r="J6" s="110">
        <f>'P&amp;L'!B4/12*(J4/N4)*J5</f>
        <v>780692.5384615385</v>
      </c>
      <c r="K6" s="110">
        <f>'P&amp;L'!B4/12*(K4/N4)*K5</f>
        <v>1083070</v>
      </c>
      <c r="L6" s="110">
        <f>'P&amp;L'!B4/12*(L4/N4)*L5</f>
        <v>1269005.1846153846</v>
      </c>
      <c r="M6" s="110">
        <f>'P&amp;L'!B4/12*(M4/N4)*M5</f>
        <v>1457292.7384615387</v>
      </c>
      <c r="N6" s="258">
        <f>SUM(B6:M6)</f>
        <v>7674702.6307692323</v>
      </c>
    </row>
    <row r="7" spans="1:14" ht="15" customHeight="1" x14ac:dyDescent="0.2">
      <c r="A7" s="210" t="s">
        <v>663</v>
      </c>
      <c r="B7" s="110">
        <f>'P&amp;L'!B5/12*(B4/N4)*B5</f>
        <v>-16091.111076923076</v>
      </c>
      <c r="C7" s="110">
        <f>'P&amp;L'!B5/12*(C4/N4)*C5</f>
        <v>-33913.364615384635</v>
      </c>
      <c r="D7" s="110">
        <f>'P&amp;L'!B5/12*(D4/N4)*D5</f>
        <v>-43250.182153846152</v>
      </c>
      <c r="E7" s="110">
        <f>'P&amp;L'!B5/12*(E4/N4)*E5</f>
        <v>-57383.115692307692</v>
      </c>
      <c r="F7" s="110">
        <f>'P&amp;L'!B5/12*(F4/N4)*F5</f>
        <v>-66478.708461538467</v>
      </c>
      <c r="G7" s="110">
        <f>'P&amp;L'!B5/12*(G4/N4)*G5</f>
        <v>-62150.852307692301</v>
      </c>
      <c r="H7" s="110">
        <f>'P&amp;L'!B5/12*(H4/N4)*H5</f>
        <v>-78071.687076923088</v>
      </c>
      <c r="I7" s="110">
        <f>'P&amp;L'!B5/12*(I4/N4)*I5</f>
        <v>-89224.785230769237</v>
      </c>
      <c r="J7" s="110">
        <f>'P&amp;L'!B5/12*(J4/N4)*J5</f>
        <v>-113020.89923076924</v>
      </c>
      <c r="K7" s="110">
        <f>'P&amp;L'!B5/12*(K4/N4)*K5</f>
        <v>-156796.1</v>
      </c>
      <c r="L7" s="110">
        <f>'P&amp;L'!B5/12*(L4/N4)*L5</f>
        <v>-183713.9463076923</v>
      </c>
      <c r="M7" s="110">
        <f>'P&amp;L'!B5/12*(M4/N4)*M5</f>
        <v>-210972.34523076925</v>
      </c>
      <c r="N7" s="258">
        <f>SUM(B7:M7)</f>
        <v>-1111067.0973846153</v>
      </c>
    </row>
    <row r="8" spans="1:14" ht="15" customHeight="1" x14ac:dyDescent="0.2">
      <c r="A8" s="50" t="s">
        <v>425</v>
      </c>
      <c r="B8" s="70">
        <f>Assumptions!B236</f>
        <v>1.196</v>
      </c>
      <c r="C8" s="70">
        <f>Assumptions!C236</f>
        <v>1.26</v>
      </c>
      <c r="D8" s="70">
        <f>Assumptions!D236</f>
        <v>1.02</v>
      </c>
      <c r="E8" s="70">
        <f>Assumptions!E236</f>
        <v>1.0149999999999999</v>
      </c>
      <c r="F8" s="70">
        <f>Assumptions!F236</f>
        <v>0.94099999999999995</v>
      </c>
      <c r="G8" s="70">
        <f>Assumptions!G236</f>
        <v>0.623</v>
      </c>
      <c r="H8" s="70">
        <f>Assumptions!H236</f>
        <v>0.67100000000000004</v>
      </c>
      <c r="I8" s="70">
        <f>Assumptions!I236</f>
        <v>0.67100000000000004</v>
      </c>
      <c r="J8" s="70">
        <f>Assumptions!J236</f>
        <v>0.88900000000000001</v>
      </c>
      <c r="K8" s="70">
        <f>Assumptions!K236</f>
        <v>1.165</v>
      </c>
      <c r="L8" s="70">
        <f>Assumptions!L236</f>
        <v>1.2410000000000001</v>
      </c>
      <c r="M8" s="70">
        <f>Assumptions!M236</f>
        <v>1.3069999999999999</v>
      </c>
      <c r="N8" s="70">
        <f>AVERAGE(B8:M8)</f>
        <v>0.99991666666666668</v>
      </c>
    </row>
    <row r="9" spans="1:14" ht="15" customHeight="1" x14ac:dyDescent="0.2">
      <c r="A9" s="87" t="s">
        <v>682</v>
      </c>
      <c r="B9" s="112">
        <f t="shared" ref="B9:M9" si="0">B6+B7</f>
        <v>95058.335076923075</v>
      </c>
      <c r="C9" s="112">
        <f t="shared" si="0"/>
        <v>200343.4046153847</v>
      </c>
      <c r="D9" s="112">
        <f t="shared" si="0"/>
        <v>255500.71015384619</v>
      </c>
      <c r="E9" s="112">
        <f t="shared" si="0"/>
        <v>338991.09969230765</v>
      </c>
      <c r="F9" s="112">
        <f t="shared" si="0"/>
        <v>392723.36846153851</v>
      </c>
      <c r="G9" s="112">
        <f t="shared" si="0"/>
        <v>367156.53230769234</v>
      </c>
      <c r="H9" s="112">
        <f t="shared" si="0"/>
        <v>461208.95907692309</v>
      </c>
      <c r="I9" s="112">
        <f t="shared" si="0"/>
        <v>527095.95323076937</v>
      </c>
      <c r="J9" s="112">
        <f t="shared" si="0"/>
        <v>667671.63923076924</v>
      </c>
      <c r="K9" s="112">
        <f t="shared" si="0"/>
        <v>926273.9</v>
      </c>
      <c r="L9" s="112">
        <f t="shared" si="0"/>
        <v>1085291.2383076923</v>
      </c>
      <c r="M9" s="112">
        <f t="shared" si="0"/>
        <v>1246320.3932307693</v>
      </c>
      <c r="N9" s="112">
        <f>SUM(B9:M9)</f>
        <v>6563635.5333846156</v>
      </c>
    </row>
    <row r="10" spans="1:14" ht="15" customHeight="1" x14ac:dyDescent="0.2">
      <c r="A10" s="18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</row>
    <row r="11" spans="1:14" ht="15" customHeight="1" x14ac:dyDescent="0.2">
      <c r="A11" s="210" t="s">
        <v>670</v>
      </c>
      <c r="B11" s="110">
        <f>'P&amp;L'!B10/12*(B4/N4)*B8</f>
        <v>-23445.280000000002</v>
      </c>
      <c r="C11" s="110">
        <f>'P&amp;L'!B10/12*(C4/N4)*C8</f>
        <v>-49399.753846153872</v>
      </c>
      <c r="D11" s="110">
        <f>'P&amp;L'!B10/12*(D4/N4)*D8</f>
        <v>-59985.415384615393</v>
      </c>
      <c r="E11" s="110">
        <f>'P&amp;L'!B10/12*(E4/N4)*E8</f>
        <v>-79588.492307692315</v>
      </c>
      <c r="F11" s="110">
        <f>'P&amp;L'!B10/12*(F4/N4)*F8</f>
        <v>-92232.476923076931</v>
      </c>
      <c r="G11" s="110">
        <f>'P&amp;L'!B10/12*(G4/N4)*G8</f>
        <v>-73276.301538461543</v>
      </c>
      <c r="H11" s="110">
        <f>'P&amp;L'!B10/12*(H4/N4)*H8</f>
        <v>-92075.652307692333</v>
      </c>
      <c r="I11" s="110">
        <f>'P&amp;L'!B10/12*(I4/N4)*I8</f>
        <v>-105229.31692307694</v>
      </c>
      <c r="J11" s="110">
        <f>'P&amp;L'!B10/12*(J4/N4)*J8</f>
        <v>-156844.21846153849</v>
      </c>
      <c r="K11" s="110">
        <f>'P&amp;L'!B10/12*(K4/N4)*K8</f>
        <v>-228375.84615384619</v>
      </c>
      <c r="L11" s="110">
        <f>'P&amp;L'!B10/12*(L4/N4)*L8</f>
        <v>-267601.60307692311</v>
      </c>
      <c r="M11" s="110">
        <f>'P&amp;L'!B10/12*(M4/N4)*M8</f>
        <v>-307454.65846153849</v>
      </c>
      <c r="N11" s="258">
        <f t="shared" ref="N11:N16" si="1">SUM(B11:M11)</f>
        <v>-1535509.0153846159</v>
      </c>
    </row>
    <row r="12" spans="1:14" ht="15" customHeight="1" x14ac:dyDescent="0.2">
      <c r="A12" s="210" t="s">
        <v>684</v>
      </c>
      <c r="B12" s="110">
        <f>'P&amp;L'!B11/12*(B4/N4)*B5</f>
        <v>-33344.833846153851</v>
      </c>
      <c r="C12" s="110">
        <f>'P&amp;L'!B11/12*(C4/N4)*C5</f>
        <v>-70277.030769230812</v>
      </c>
      <c r="D12" s="110">
        <f>'P&amp;L'!B11/12*(D4/N4)*D5</f>
        <v>-89625.267692307709</v>
      </c>
      <c r="E12" s="110">
        <f>'P&amp;L'!B11/12*(E4/N4)*E5</f>
        <v>-118912.26461538463</v>
      </c>
      <c r="F12" s="110">
        <f>'P&amp;L'!B11/12*(F4/N4)*F5</f>
        <v>-137760.62307692313</v>
      </c>
      <c r="G12" s="110">
        <f>'P&amp;L'!B11/12*(G4/N4)*G5</f>
        <v>-128792.21538461541</v>
      </c>
      <c r="H12" s="110">
        <f>'P&amp;L'!B11/12*(H4/N4)*H5</f>
        <v>-161784.19384615388</v>
      </c>
      <c r="I12" s="110">
        <f>'P&amp;L'!B11/12*(I4/N4)*I5</f>
        <v>-184896.22153846157</v>
      </c>
      <c r="J12" s="110">
        <f>'P&amp;L'!B11/12*(J4/N4)*J5</f>
        <v>-234207.76153846164</v>
      </c>
      <c r="K12" s="110">
        <f>'P&amp;L'!B11/12*(K4/N4)*K5</f>
        <v>-324921.00000000012</v>
      </c>
      <c r="L12" s="110">
        <f>'P&amp;L'!B11/12*(L4/N4)*L5</f>
        <v>-380701.55538461544</v>
      </c>
      <c r="M12" s="110">
        <f>'P&amp;L'!B11/12*(M4/N4)*M5</f>
        <v>-437187.82153846166</v>
      </c>
      <c r="N12" s="258">
        <f t="shared" si="1"/>
        <v>-2302410.78923077</v>
      </c>
    </row>
    <row r="13" spans="1:14" ht="15" customHeight="1" x14ac:dyDescent="0.2">
      <c r="A13" s="222" t="s">
        <v>685</v>
      </c>
      <c r="B13" s="239">
        <f>'P&amp;L'!B12/12</f>
        <v>-44000</v>
      </c>
      <c r="C13" s="239">
        <f>'P&amp;L'!B12/12</f>
        <v>-44000</v>
      </c>
      <c r="D13" s="239">
        <f>'P&amp;L'!B12/12</f>
        <v>-44000</v>
      </c>
      <c r="E13" s="239">
        <f>'P&amp;L'!B12/12</f>
        <v>-44000</v>
      </c>
      <c r="F13" s="239">
        <f>'P&amp;L'!B12/12</f>
        <v>-44000</v>
      </c>
      <c r="G13" s="239">
        <f>'P&amp;L'!B12/12</f>
        <v>-44000</v>
      </c>
      <c r="H13" s="239">
        <f>'P&amp;L'!B12/12</f>
        <v>-44000</v>
      </c>
      <c r="I13" s="239">
        <f>'P&amp;L'!B12/12</f>
        <v>-44000</v>
      </c>
      <c r="J13" s="239">
        <f>'P&amp;L'!B12/12</f>
        <v>-44000</v>
      </c>
      <c r="K13" s="239">
        <f>'P&amp;L'!B12/12</f>
        <v>-44000</v>
      </c>
      <c r="L13" s="239">
        <f>'P&amp;L'!B12/12</f>
        <v>-44000</v>
      </c>
      <c r="M13" s="239">
        <f>'P&amp;L'!B12/12</f>
        <v>-44000</v>
      </c>
      <c r="N13" s="239">
        <f t="shared" si="1"/>
        <v>-528000</v>
      </c>
    </row>
    <row r="14" spans="1:14" ht="15" customHeight="1" x14ac:dyDescent="0.2">
      <c r="A14" s="210" t="s">
        <v>675</v>
      </c>
      <c r="B14" s="110">
        <f>'P&amp;L'!B16/12</f>
        <v>-128166.66666666667</v>
      </c>
      <c r="C14" s="110">
        <f>'P&amp;L'!B16/12</f>
        <v>-128166.66666666667</v>
      </c>
      <c r="D14" s="110">
        <f>'P&amp;L'!B16/12</f>
        <v>-128166.66666666667</v>
      </c>
      <c r="E14" s="110">
        <f>'P&amp;L'!B16/12</f>
        <v>-128166.66666666667</v>
      </c>
      <c r="F14" s="110">
        <f>'P&amp;L'!B16/12</f>
        <v>-128166.66666666667</v>
      </c>
      <c r="G14" s="110">
        <f>'P&amp;L'!B16/12</f>
        <v>-128166.66666666667</v>
      </c>
      <c r="H14" s="110">
        <f>'P&amp;L'!B16/12</f>
        <v>-128166.66666666667</v>
      </c>
      <c r="I14" s="110">
        <f>'P&amp;L'!B16/12</f>
        <v>-128166.66666666667</v>
      </c>
      <c r="J14" s="110">
        <f>'P&amp;L'!B16/12</f>
        <v>-128166.66666666667</v>
      </c>
      <c r="K14" s="110">
        <f>'P&amp;L'!B16/12</f>
        <v>-128166.66666666667</v>
      </c>
      <c r="L14" s="110">
        <f>'P&amp;L'!B16/12</f>
        <v>-128166.66666666667</v>
      </c>
      <c r="M14" s="110">
        <f>'P&amp;L'!B16/12</f>
        <v>-128166.66666666667</v>
      </c>
      <c r="N14" s="258">
        <f t="shared" si="1"/>
        <v>-1538000.0000000002</v>
      </c>
    </row>
    <row r="15" spans="1:14" ht="15" customHeight="1" x14ac:dyDescent="0.2">
      <c r="A15" s="210" t="s">
        <v>676</v>
      </c>
      <c r="B15" s="110">
        <f>'P&amp;L'!B17/12*(B4/N4)*B5</f>
        <v>-2222.9889230769231</v>
      </c>
      <c r="C15" s="110">
        <f>'P&amp;L'!B17/12*(C4/N4)*C5</f>
        <v>-4685.135384615387</v>
      </c>
      <c r="D15" s="110">
        <f>'P&amp;L'!B17/12*(D4/N4)*D5</f>
        <v>-5975.0178461538462</v>
      </c>
      <c r="E15" s="110">
        <f>'P&amp;L'!B17/12*(E4/N4)*E5</f>
        <v>-7927.4843076923071</v>
      </c>
      <c r="F15" s="110">
        <f>'P&amp;L'!B17/12*(F4/N4)*F5</f>
        <v>-9184.0415384615408</v>
      </c>
      <c r="G15" s="110">
        <f>'P&amp;L'!B17/12*(G4/N4)*G5</f>
        <v>-8586.1476923076916</v>
      </c>
      <c r="H15" s="110">
        <f>'P&amp;L'!B17/12*(H4/N4)*H5</f>
        <v>-10785.612923076924</v>
      </c>
      <c r="I15" s="110">
        <f>'P&amp;L'!B17/12*(I4/N4)*I5</f>
        <v>-12326.414769230771</v>
      </c>
      <c r="J15" s="110">
        <f>'P&amp;L'!B17/12*(J4/N4)*J5</f>
        <v>-15613.850769230772</v>
      </c>
      <c r="K15" s="110">
        <f>'P&amp;L'!B17/12*(K4/N4)*K5</f>
        <v>-21661.4</v>
      </c>
      <c r="L15" s="110">
        <f>'P&amp;L'!B17/12*(L4/N4)*L5</f>
        <v>-25380.10369230769</v>
      </c>
      <c r="M15" s="110">
        <f>'P&amp;L'!B17/12*(M4/N4)*M5</f>
        <v>-29145.854769230773</v>
      </c>
      <c r="N15" s="258">
        <f t="shared" si="1"/>
        <v>-153494.05261538463</v>
      </c>
    </row>
    <row r="16" spans="1:14" ht="15" customHeight="1" x14ac:dyDescent="0.2">
      <c r="A16" s="210" t="s">
        <v>677</v>
      </c>
      <c r="B16" s="110">
        <f>'P&amp;L'!B18/12</f>
        <v>-68200</v>
      </c>
      <c r="C16" s="110">
        <f>'P&amp;L'!B18/12</f>
        <v>-68200</v>
      </c>
      <c r="D16" s="110">
        <f>'P&amp;L'!B18/12</f>
        <v>-68200</v>
      </c>
      <c r="E16" s="110">
        <f>'P&amp;L'!B18/12</f>
        <v>-68200</v>
      </c>
      <c r="F16" s="110">
        <f>'P&amp;L'!B18/12</f>
        <v>-68200</v>
      </c>
      <c r="G16" s="110">
        <f>'P&amp;L'!B18/12</f>
        <v>-68200</v>
      </c>
      <c r="H16" s="110">
        <f>'P&amp;L'!B18/12</f>
        <v>-68200</v>
      </c>
      <c r="I16" s="110">
        <f>'P&amp;L'!B18/12</f>
        <v>-68200</v>
      </c>
      <c r="J16" s="110">
        <f>'P&amp;L'!B18/12</f>
        <v>-68200</v>
      </c>
      <c r="K16" s="110">
        <f>'P&amp;L'!B18/12</f>
        <v>-68200</v>
      </c>
      <c r="L16" s="110">
        <f>'P&amp;L'!B18/12</f>
        <v>-68200</v>
      </c>
      <c r="M16" s="110">
        <f>'P&amp;L'!B18/12</f>
        <v>-68200</v>
      </c>
      <c r="N16" s="258">
        <f t="shared" si="1"/>
        <v>-818400</v>
      </c>
    </row>
    <row r="17" spans="1:14" ht="15" customHeight="1" x14ac:dyDescent="0.2">
      <c r="A17" s="18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</row>
    <row r="18" spans="1:14" ht="15" customHeight="1" x14ac:dyDescent="0.2">
      <c r="A18" s="87" t="s">
        <v>34</v>
      </c>
      <c r="B18" s="116">
        <f t="shared" ref="B18:M18" si="2">B9+B11+B12+B13+B14+B15+B16</f>
        <v>-204321.43435897437</v>
      </c>
      <c r="C18" s="116">
        <f t="shared" si="2"/>
        <v>-164385.18205128206</v>
      </c>
      <c r="D18" s="116">
        <f t="shared" si="2"/>
        <v>-140451.65743589745</v>
      </c>
      <c r="E18" s="116">
        <f t="shared" si="2"/>
        <v>-107803.80820512827</v>
      </c>
      <c r="F18" s="116">
        <f t="shared" si="2"/>
        <v>-86820.439743589784</v>
      </c>
      <c r="G18" s="116">
        <f t="shared" si="2"/>
        <v>-83864.798974358971</v>
      </c>
      <c r="H18" s="116">
        <f t="shared" si="2"/>
        <v>-43803.166666666722</v>
      </c>
      <c r="I18" s="116">
        <f t="shared" si="2"/>
        <v>-15722.66666666657</v>
      </c>
      <c r="J18" s="116">
        <f t="shared" si="2"/>
        <v>20639.141794871699</v>
      </c>
      <c r="K18" s="116">
        <f t="shared" si="2"/>
        <v>110948.9871794871</v>
      </c>
      <c r="L18" s="116">
        <f t="shared" si="2"/>
        <v>171241.30948717936</v>
      </c>
      <c r="M18" s="116">
        <f t="shared" si="2"/>
        <v>232165.39179487171</v>
      </c>
      <c r="N18" s="116">
        <f>SUM(B18:M18)</f>
        <v>-312178.32384615421</v>
      </c>
    </row>
    <row r="19" spans="1:14" ht="15" customHeight="1" x14ac:dyDescent="0.2">
      <c r="A19" s="87" t="s">
        <v>35</v>
      </c>
      <c r="B19" s="103">
        <f t="shared" ref="B19:N19" si="3">IF(B6&lt;&gt;0,B18/B6,0)</f>
        <v>-1.8382586817046784</v>
      </c>
      <c r="C19" s="103">
        <f t="shared" si="3"/>
        <v>-0.70173076573656712</v>
      </c>
      <c r="D19" s="103">
        <f t="shared" si="3"/>
        <v>-0.47012966672997303</v>
      </c>
      <c r="E19" s="103">
        <f t="shared" si="3"/>
        <v>-0.27197482586126998</v>
      </c>
      <c r="F19" s="103">
        <f t="shared" si="3"/>
        <v>-0.18906804674172559</v>
      </c>
      <c r="G19" s="103">
        <f t="shared" si="3"/>
        <v>-0.19534907150384387</v>
      </c>
      <c r="H19" s="103">
        <f t="shared" si="3"/>
        <v>-8.1225178353926203E-2</v>
      </c>
      <c r="I19" s="103">
        <f t="shared" si="3"/>
        <v>-2.5510526720086576E-2</v>
      </c>
      <c r="J19" s="103">
        <f t="shared" si="3"/>
        <v>2.6436965614586187E-2</v>
      </c>
      <c r="K19" s="103">
        <f t="shared" si="3"/>
        <v>0.1024393503462261</v>
      </c>
      <c r="L19" s="103">
        <f t="shared" si="3"/>
        <v>0.13494137893461791</v>
      </c>
      <c r="M19" s="103">
        <f t="shared" si="3"/>
        <v>0.15931280357573749</v>
      </c>
      <c r="N19" s="103">
        <f t="shared" si="3"/>
        <v>-4.0676276184900821E-2</v>
      </c>
    </row>
    <row r="20" spans="1:14" ht="15" customHeight="1" x14ac:dyDescent="0.2">
      <c r="A20" s="520"/>
      <c r="B20" s="521"/>
      <c r="C20" s="521"/>
      <c r="D20" s="521"/>
      <c r="E20" s="521"/>
      <c r="F20" s="521"/>
      <c r="G20" s="521"/>
      <c r="H20" s="521"/>
      <c r="I20" s="521"/>
      <c r="J20" s="521"/>
      <c r="K20" s="521"/>
      <c r="L20" s="521"/>
      <c r="M20" s="521"/>
      <c r="N20" s="521"/>
    </row>
    <row r="21" spans="1:14" ht="15" customHeight="1" x14ac:dyDescent="0.2">
      <c r="A21" s="522" t="s">
        <v>689</v>
      </c>
      <c r="B21" s="525">
        <f>'P&amp;L'!$B$23/12</f>
        <v>56142.857142857138</v>
      </c>
      <c r="C21" s="525">
        <f>'P&amp;L'!$B$23/12</f>
        <v>56142.857142857138</v>
      </c>
      <c r="D21" s="525">
        <f>'P&amp;L'!$B$23/12</f>
        <v>56142.857142857138</v>
      </c>
      <c r="E21" s="525">
        <f>'P&amp;L'!$B$23/12</f>
        <v>56142.857142857138</v>
      </c>
      <c r="F21" s="525">
        <f>'P&amp;L'!$B$23/12</f>
        <v>56142.857142857138</v>
      </c>
      <c r="G21" s="525">
        <f>'P&amp;L'!$B$23/12</f>
        <v>56142.857142857138</v>
      </c>
      <c r="H21" s="525">
        <f>'P&amp;L'!$B$23/12</f>
        <v>56142.857142857138</v>
      </c>
      <c r="I21" s="525">
        <f>'P&amp;L'!$B$23/12</f>
        <v>56142.857142857138</v>
      </c>
      <c r="J21" s="525">
        <f>'P&amp;L'!$B$23/12</f>
        <v>56142.857142857138</v>
      </c>
      <c r="K21" s="525">
        <f>'P&amp;L'!$B$23/12</f>
        <v>56142.857142857138</v>
      </c>
      <c r="L21" s="525">
        <f>'P&amp;L'!$B$23/12</f>
        <v>56142.857142857138</v>
      </c>
      <c r="M21" s="525">
        <f>'P&amp;L'!$B$23/12</f>
        <v>56142.857142857138</v>
      </c>
      <c r="N21" s="527">
        <f>SUM(B21:M21)</f>
        <v>673714.2857142858</v>
      </c>
    </row>
    <row r="22" spans="1:14" ht="15" customHeight="1" x14ac:dyDescent="0.2">
      <c r="A22" s="520"/>
      <c r="B22" s="521"/>
      <c r="C22" s="521"/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1"/>
    </row>
    <row r="23" spans="1:14" ht="15" customHeight="1" x14ac:dyDescent="0.2">
      <c r="A23" s="523" t="s">
        <v>690</v>
      </c>
      <c r="B23" s="527">
        <f t="shared" ref="B23:M23" si="4">B18-B21</f>
        <v>-260464.2915018315</v>
      </c>
      <c r="C23" s="527">
        <f t="shared" si="4"/>
        <v>-220528.03919413919</v>
      </c>
      <c r="D23" s="527">
        <f t="shared" si="4"/>
        <v>-196594.51457875458</v>
      </c>
      <c r="E23" s="527">
        <f t="shared" si="4"/>
        <v>-163946.6653479854</v>
      </c>
      <c r="F23" s="527">
        <f t="shared" si="4"/>
        <v>-142963.29688644691</v>
      </c>
      <c r="G23" s="527">
        <f t="shared" si="4"/>
        <v>-140007.6561172161</v>
      </c>
      <c r="H23" s="527">
        <f t="shared" si="4"/>
        <v>-99946.02380952386</v>
      </c>
      <c r="I23" s="527">
        <f t="shared" si="4"/>
        <v>-71865.5238095237</v>
      </c>
      <c r="J23" s="527">
        <f t="shared" si="4"/>
        <v>-35503.715347985439</v>
      </c>
      <c r="K23" s="527">
        <f t="shared" si="4"/>
        <v>54806.130036629962</v>
      </c>
      <c r="L23" s="527">
        <f t="shared" si="4"/>
        <v>115098.45234432223</v>
      </c>
      <c r="M23" s="527">
        <f t="shared" si="4"/>
        <v>176022.53465201458</v>
      </c>
      <c r="N23" s="527">
        <f>SUM(B23:M23)</f>
        <v>-985892.60956043995</v>
      </c>
    </row>
    <row r="24" spans="1:14" ht="15" customHeight="1" x14ac:dyDescent="0.2">
      <c r="A24" s="522" t="s">
        <v>691</v>
      </c>
      <c r="B24" s="525">
        <f>-IF(B23&gt;Assumptions!$B$50/12,(B23-Assumptions!$B$50/12)*Assumptions!$B$49,0)</f>
        <v>0</v>
      </c>
      <c r="C24" s="525">
        <f>-IF(C23&gt;Assumptions!$B$50/12,(C23-Assumptions!$B$50/12)*Assumptions!$B$49,0)</f>
        <v>0</v>
      </c>
      <c r="D24" s="525">
        <f>-IF(D23&gt;Assumptions!$B$50/12,(D23-Assumptions!$B$50/12)*Assumptions!$B$49,0)</f>
        <v>0</v>
      </c>
      <c r="E24" s="525">
        <f>-IF(E23&gt;Assumptions!$B$50/12,(E23-Assumptions!$B$50/12)*Assumptions!$B$49,0)</f>
        <v>0</v>
      </c>
      <c r="F24" s="525">
        <f>-IF(F23&gt;Assumptions!$B$50/12,(F23-Assumptions!$B$50/12)*Assumptions!$B$49,0)</f>
        <v>0</v>
      </c>
      <c r="G24" s="525">
        <f>-IF(G23&gt;Assumptions!$B$50/12,(G23-Assumptions!$B$50/12)*Assumptions!$B$49,0)</f>
        <v>0</v>
      </c>
      <c r="H24" s="525">
        <f>-IF(H23&gt;Assumptions!$B$50/12,(H23-Assumptions!$B$50/12)*Assumptions!$B$49,0)</f>
        <v>0</v>
      </c>
      <c r="I24" s="525">
        <f>-IF(I23&gt;Assumptions!$B$50/12,(I23-Assumptions!$B$50/12)*Assumptions!$B$49,0)</f>
        <v>0</v>
      </c>
      <c r="J24" s="525">
        <f>-IF(J23&gt;Assumptions!$B$50/12,(J23-Assumptions!$B$50/12)*Assumptions!$B$49,0)</f>
        <v>0</v>
      </c>
      <c r="K24" s="525">
        <f>-IF(K23&gt;Assumptions!$B$50/12,(K23-Assumptions!$B$50/12)*Assumptions!$B$49,0)</f>
        <v>-2120.0517032966964</v>
      </c>
      <c r="L24" s="525">
        <f>-IF(L23&gt;Assumptions!$B$50/12,(L23-Assumptions!$B$50/12)*Assumptions!$B$49,0)</f>
        <v>-7546.3607109889999</v>
      </c>
      <c r="M24" s="525">
        <f>-IF(M23&gt;Assumptions!$B$50/12,(M23-Assumptions!$B$50/12)*Assumptions!$B$49,0)</f>
        <v>-13029.528118681312</v>
      </c>
      <c r="N24" s="527">
        <f>SUM(B24:M24)</f>
        <v>-22695.940532967008</v>
      </c>
    </row>
    <row r="25" spans="1:14" ht="15" customHeight="1" x14ac:dyDescent="0.2">
      <c r="A25" s="520"/>
      <c r="B25" s="521"/>
      <c r="C25" s="521"/>
      <c r="D25" s="521"/>
      <c r="E25" s="521"/>
      <c r="F25" s="521"/>
      <c r="G25" s="521"/>
      <c r="H25" s="521"/>
      <c r="I25" s="521"/>
      <c r="J25" s="521"/>
      <c r="K25" s="521"/>
      <c r="L25" s="521"/>
      <c r="M25" s="521"/>
      <c r="N25" s="521"/>
    </row>
    <row r="26" spans="1:14" ht="15" customHeight="1" x14ac:dyDescent="0.2">
      <c r="A26" s="523" t="s">
        <v>692</v>
      </c>
      <c r="B26" s="527">
        <f t="shared" ref="B26:M26" si="5">B23+B24</f>
        <v>-260464.2915018315</v>
      </c>
      <c r="C26" s="527">
        <f t="shared" si="5"/>
        <v>-220528.03919413919</v>
      </c>
      <c r="D26" s="527">
        <f t="shared" si="5"/>
        <v>-196594.51457875458</v>
      </c>
      <c r="E26" s="527">
        <f t="shared" si="5"/>
        <v>-163946.6653479854</v>
      </c>
      <c r="F26" s="527">
        <f t="shared" si="5"/>
        <v>-142963.29688644691</v>
      </c>
      <c r="G26" s="527">
        <f t="shared" si="5"/>
        <v>-140007.6561172161</v>
      </c>
      <c r="H26" s="527">
        <f t="shared" si="5"/>
        <v>-99946.02380952386</v>
      </c>
      <c r="I26" s="527">
        <f t="shared" si="5"/>
        <v>-71865.5238095237</v>
      </c>
      <c r="J26" s="527">
        <f t="shared" si="5"/>
        <v>-35503.715347985439</v>
      </c>
      <c r="K26" s="527">
        <f t="shared" si="5"/>
        <v>52686.078333333266</v>
      </c>
      <c r="L26" s="527">
        <f t="shared" si="5"/>
        <v>107552.09163333323</v>
      </c>
      <c r="M26" s="527">
        <f t="shared" si="5"/>
        <v>162993.00653333328</v>
      </c>
      <c r="N26" s="527">
        <f>SUM(B26:M26)</f>
        <v>-1008588.5500934068</v>
      </c>
    </row>
    <row r="27" spans="1:14" ht="15" customHeight="1" x14ac:dyDescent="0.2">
      <c r="A27" s="523" t="s">
        <v>693</v>
      </c>
      <c r="B27" s="526">
        <f t="shared" ref="B27:N27" si="6">IF(B6&lt;&gt;0,B26/B6,0)</f>
        <v>-2.3433701247715892</v>
      </c>
      <c r="C27" s="526">
        <f t="shared" si="6"/>
        <v>-0.9413945215683146</v>
      </c>
      <c r="D27" s="526">
        <f t="shared" si="6"/>
        <v>-0.6580549870836071</v>
      </c>
      <c r="E27" s="526">
        <f t="shared" si="6"/>
        <v>-0.41361586850169452</v>
      </c>
      <c r="F27" s="526">
        <f t="shared" si="6"/>
        <v>-0.31132981332398318</v>
      </c>
      <c r="G27" s="526">
        <f t="shared" si="6"/>
        <v>-0.32612449991431802</v>
      </c>
      <c r="H27" s="526">
        <f t="shared" si="6"/>
        <v>-0.18533211700130478</v>
      </c>
      <c r="I27" s="526">
        <f t="shared" si="6"/>
        <v>-0.1166040980365428</v>
      </c>
      <c r="J27" s="526">
        <f t="shared" si="6"/>
        <v>-4.5477205940702814E-2</v>
      </c>
      <c r="K27" s="526">
        <f t="shared" si="6"/>
        <v>4.8645127584859026E-2</v>
      </c>
      <c r="L27" s="526">
        <f t="shared" si="6"/>
        <v>8.4753075036435394E-2</v>
      </c>
      <c r="M27" s="526">
        <f t="shared" si="6"/>
        <v>0.11184644116555792</v>
      </c>
      <c r="N27" s="526">
        <f t="shared" si="6"/>
        <v>-0.13141728072300782</v>
      </c>
    </row>
    <row r="28" spans="1:14" ht="15" customHeight="1" x14ac:dyDescent="0.2">
      <c r="A28" s="524" t="s">
        <v>711</v>
      </c>
      <c r="B28" s="528">
        <f t="shared" ref="B28:M28" si="7">B26+B21</f>
        <v>-204321.43435897437</v>
      </c>
      <c r="C28" s="528">
        <f t="shared" si="7"/>
        <v>-164385.18205128206</v>
      </c>
      <c r="D28" s="528">
        <f t="shared" si="7"/>
        <v>-140451.65743589745</v>
      </c>
      <c r="E28" s="528">
        <f t="shared" si="7"/>
        <v>-107803.80820512827</v>
      </c>
      <c r="F28" s="528">
        <f t="shared" si="7"/>
        <v>-86820.439743589784</v>
      </c>
      <c r="G28" s="528">
        <f t="shared" si="7"/>
        <v>-83864.798974358971</v>
      </c>
      <c r="H28" s="528">
        <f t="shared" si="7"/>
        <v>-43803.166666666722</v>
      </c>
      <c r="I28" s="528">
        <f t="shared" si="7"/>
        <v>-15722.666666666562</v>
      </c>
      <c r="J28" s="528">
        <f t="shared" si="7"/>
        <v>20639.141794871699</v>
      </c>
      <c r="K28" s="528">
        <f t="shared" si="7"/>
        <v>108828.93547619041</v>
      </c>
      <c r="L28" s="528">
        <f t="shared" si="7"/>
        <v>163694.94877619037</v>
      </c>
      <c r="M28" s="528">
        <f t="shared" si="7"/>
        <v>219135.86367619041</v>
      </c>
      <c r="N28" s="528">
        <f>SUM(B28:M28)</f>
        <v>-334874.26437912125</v>
      </c>
    </row>
    <row r="29" spans="1:14" ht="15" customHeight="1" x14ac:dyDescent="0.2">
      <c r="A29" s="87" t="s">
        <v>712</v>
      </c>
      <c r="B29" s="116">
        <f>B18</f>
        <v>-204321.43435897437</v>
      </c>
      <c r="C29" s="116">
        <f t="shared" ref="C29:M29" si="8">B29+C18</f>
        <v>-368706.61641025642</v>
      </c>
      <c r="D29" s="116">
        <f t="shared" si="8"/>
        <v>-509158.27384615387</v>
      </c>
      <c r="E29" s="116">
        <f t="shared" si="8"/>
        <v>-616962.08205128217</v>
      </c>
      <c r="F29" s="116">
        <f t="shared" si="8"/>
        <v>-703782.52179487189</v>
      </c>
      <c r="G29" s="116">
        <f t="shared" si="8"/>
        <v>-787647.32076923084</v>
      </c>
      <c r="H29" s="116">
        <f t="shared" si="8"/>
        <v>-831450.48743589758</v>
      </c>
      <c r="I29" s="116">
        <f t="shared" si="8"/>
        <v>-847173.15410256409</v>
      </c>
      <c r="J29" s="116">
        <f t="shared" si="8"/>
        <v>-826534.01230769244</v>
      </c>
      <c r="K29" s="116">
        <f t="shared" si="8"/>
        <v>-715585.02512820531</v>
      </c>
      <c r="L29" s="116">
        <f t="shared" si="8"/>
        <v>-544343.71564102592</v>
      </c>
      <c r="M29" s="116">
        <f t="shared" si="8"/>
        <v>-312178.32384615421</v>
      </c>
      <c r="N29" s="112"/>
    </row>
    <row r="30" spans="1:14" x14ac:dyDescent="0.2">
      <c r="A30" s="523" t="s">
        <v>713</v>
      </c>
      <c r="B30" s="529">
        <f>B26</f>
        <v>-260464.2915018315</v>
      </c>
      <c r="C30" s="529">
        <f t="shared" ref="C30:M30" si="9">B30+C26</f>
        <v>-480992.33069597068</v>
      </c>
      <c r="D30" s="529">
        <f t="shared" si="9"/>
        <v>-677586.84527472523</v>
      </c>
      <c r="E30" s="529">
        <f t="shared" si="9"/>
        <v>-841533.51062271069</v>
      </c>
      <c r="F30" s="529">
        <f t="shared" si="9"/>
        <v>-984496.80750915757</v>
      </c>
      <c r="G30" s="529">
        <f t="shared" si="9"/>
        <v>-1124504.4636263736</v>
      </c>
      <c r="H30" s="529">
        <f t="shared" si="9"/>
        <v>-1224450.4874358973</v>
      </c>
      <c r="I30" s="529">
        <f t="shared" si="9"/>
        <v>-1296316.0112454211</v>
      </c>
      <c r="J30" s="529">
        <f t="shared" si="9"/>
        <v>-1331819.7265934066</v>
      </c>
      <c r="K30" s="529">
        <f t="shared" si="9"/>
        <v>-1279133.6482600733</v>
      </c>
      <c r="L30" s="529">
        <f t="shared" si="9"/>
        <v>-1171581.5566267401</v>
      </c>
      <c r="M30" s="529">
        <f t="shared" si="9"/>
        <v>-1008588.5500934068</v>
      </c>
    </row>
  </sheetData>
  <mergeCells count="1">
    <mergeCell ref="A1:N1"/>
  </mergeCells>
  <pageMargins left="0.75" right="0.75" top="1" bottom="1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F64"/>
  <sheetViews>
    <sheetView topLeftCell="A18" zoomScale="160" zoomScaleNormal="100" workbookViewId="0">
      <selection activeCell="B59" sqref="B59"/>
    </sheetView>
  </sheetViews>
  <sheetFormatPr baseColWidth="10" defaultColWidth="8.6640625" defaultRowHeight="15" x14ac:dyDescent="0.2"/>
  <cols>
    <col min="1" max="1" width="32" customWidth="1"/>
    <col min="2" max="4" width="14" customWidth="1"/>
    <col min="5" max="5" width="28" customWidth="1"/>
  </cols>
  <sheetData>
    <row r="1" spans="1:6" ht="27.75" customHeight="1" x14ac:dyDescent="0.2">
      <c r="A1" s="140" t="s">
        <v>714</v>
      </c>
      <c r="B1" s="180"/>
      <c r="C1" s="180"/>
      <c r="D1" s="180"/>
      <c r="E1" s="180"/>
      <c r="F1" s="183"/>
    </row>
    <row r="2" spans="1:6" x14ac:dyDescent="0.2">
      <c r="A2" s="183"/>
      <c r="B2" s="183"/>
      <c r="C2" s="183"/>
      <c r="D2" s="183"/>
      <c r="E2" s="183"/>
      <c r="F2" s="183"/>
    </row>
    <row r="3" spans="1:6" ht="21.75" customHeight="1" x14ac:dyDescent="0.2">
      <c r="A3" s="224" t="s">
        <v>662</v>
      </c>
      <c r="B3" s="225" t="s">
        <v>106</v>
      </c>
      <c r="C3" s="225" t="s">
        <v>107</v>
      </c>
      <c r="D3" s="225" t="s">
        <v>715</v>
      </c>
      <c r="E3" s="224" t="s">
        <v>79</v>
      </c>
      <c r="F3" s="183"/>
    </row>
    <row r="4" spans="1:6" ht="15" customHeight="1" x14ac:dyDescent="0.2">
      <c r="A4" s="218" t="s">
        <v>716</v>
      </c>
      <c r="B4" s="174">
        <f>Assumptions!B9*Assumptions!B12/12*Assumptions!B24</f>
        <v>204600</v>
      </c>
      <c r="C4" s="174">
        <f>Assumptions!C9*Assumptions!C12/12*Assumptions!C24</f>
        <v>148500</v>
      </c>
      <c r="D4" s="217">
        <f>IF(Assumptions!$B$5=1,B4,C4)</f>
        <v>204600</v>
      </c>
      <c r="E4" s="144" t="s">
        <v>717</v>
      </c>
      <c r="F4" s="183"/>
    </row>
    <row r="5" spans="1:6" ht="15" customHeight="1" x14ac:dyDescent="0.2">
      <c r="A5" s="218" t="s">
        <v>718</v>
      </c>
      <c r="B5" s="174">
        <f>Assumptions!B9*4200</f>
        <v>2604000</v>
      </c>
      <c r="C5" s="174">
        <f>Assumptions!C9*4200</f>
        <v>1890000</v>
      </c>
      <c r="D5" s="217">
        <f>IF(Assumptions!$B$5=1,B5,C5)</f>
        <v>2604000</v>
      </c>
      <c r="E5" s="144" t="s">
        <v>719</v>
      </c>
      <c r="F5" s="183"/>
    </row>
    <row r="6" spans="1:6" ht="15" customHeight="1" x14ac:dyDescent="0.2">
      <c r="A6" s="183"/>
      <c r="B6" s="183"/>
      <c r="C6" s="183"/>
      <c r="D6" s="183"/>
      <c r="E6" s="183"/>
      <c r="F6" s="183"/>
    </row>
    <row r="7" spans="1:6" ht="15" customHeight="1" x14ac:dyDescent="0.2">
      <c r="A7" s="224" t="s">
        <v>720</v>
      </c>
      <c r="B7" s="183"/>
      <c r="C7" s="183"/>
      <c r="D7" s="183"/>
      <c r="E7" s="183"/>
      <c r="F7" s="183"/>
    </row>
    <row r="8" spans="1:6" ht="15" customHeight="1" x14ac:dyDescent="0.2">
      <c r="A8" s="175" t="s">
        <v>721</v>
      </c>
      <c r="B8" s="174">
        <v>20000</v>
      </c>
      <c r="C8" s="174">
        <v>20000</v>
      </c>
      <c r="D8" s="217">
        <f>IF(Assumptions!$B$5=1,B8,C8)</f>
        <v>20000</v>
      </c>
      <c r="E8" s="183"/>
      <c r="F8" s="183"/>
    </row>
    <row r="9" spans="1:6" ht="15" customHeight="1" x14ac:dyDescent="0.2">
      <c r="A9" s="175" t="s">
        <v>722</v>
      </c>
      <c r="B9" s="174">
        <v>150000</v>
      </c>
      <c r="C9" s="174">
        <v>150000</v>
      </c>
      <c r="D9" s="217">
        <f>IF(Assumptions!$B$5=1,B9,C9)</f>
        <v>150000</v>
      </c>
      <c r="E9" s="183"/>
      <c r="F9" s="183"/>
    </row>
    <row r="10" spans="1:6" ht="15" customHeight="1" x14ac:dyDescent="0.2">
      <c r="A10" s="175" t="s">
        <v>723</v>
      </c>
      <c r="B10" s="174">
        <v>130000</v>
      </c>
      <c r="C10" s="174">
        <v>130000</v>
      </c>
      <c r="D10" s="217">
        <f>IF(Assumptions!$B$5=1,B10,C10)</f>
        <v>130000</v>
      </c>
      <c r="E10" s="183"/>
      <c r="F10" s="183"/>
    </row>
    <row r="11" spans="1:6" ht="15" customHeight="1" x14ac:dyDescent="0.2">
      <c r="A11" s="175" t="s">
        <v>724</v>
      </c>
      <c r="B11" s="174">
        <v>130000</v>
      </c>
      <c r="C11" s="174">
        <v>130000</v>
      </c>
      <c r="D11" s="217">
        <f>IF(Assumptions!$B$5=1,B11,C11)</f>
        <v>130000</v>
      </c>
      <c r="E11" s="183"/>
      <c r="F11" s="183"/>
    </row>
    <row r="12" spans="1:6" ht="15" customHeight="1" x14ac:dyDescent="0.2">
      <c r="A12" s="175" t="s">
        <v>725</v>
      </c>
      <c r="B12" s="174">
        <v>130000</v>
      </c>
      <c r="C12" s="174">
        <v>130000</v>
      </c>
      <c r="D12" s="217">
        <f>IF(Assumptions!$B$5=1,B12,C12)</f>
        <v>130000</v>
      </c>
      <c r="E12" s="183"/>
      <c r="F12" s="183"/>
    </row>
    <row r="13" spans="1:6" ht="15" customHeight="1" x14ac:dyDescent="0.2">
      <c r="A13" s="175" t="s">
        <v>726</v>
      </c>
      <c r="B13" s="174">
        <v>50000</v>
      </c>
      <c r="C13" s="174">
        <v>50000</v>
      </c>
      <c r="D13" s="217">
        <f>IF(Assumptions!$B$5=1,B13,C13)</f>
        <v>50000</v>
      </c>
      <c r="E13" s="183"/>
      <c r="F13" s="183"/>
    </row>
    <row r="14" spans="1:6" ht="15" customHeight="1" x14ac:dyDescent="0.2">
      <c r="A14" s="176" t="s">
        <v>727</v>
      </c>
      <c r="B14" s="177">
        <f>SUM(B8:B13)</f>
        <v>610000</v>
      </c>
      <c r="C14" s="177">
        <f>SUM(C8:C13)</f>
        <v>610000</v>
      </c>
      <c r="D14" s="177">
        <f>IF(Assumptions!$B$5=1,B14,C14)</f>
        <v>610000</v>
      </c>
      <c r="E14" s="183"/>
      <c r="F14" s="183"/>
    </row>
    <row r="15" spans="1:6" ht="15" customHeight="1" x14ac:dyDescent="0.2">
      <c r="A15" s="183"/>
      <c r="B15" s="183"/>
      <c r="C15" s="183"/>
      <c r="D15" s="183"/>
      <c r="E15" s="183"/>
      <c r="F15" s="183"/>
    </row>
    <row r="16" spans="1:6" ht="15" customHeight="1" x14ac:dyDescent="0.2">
      <c r="A16" s="224" t="s">
        <v>728</v>
      </c>
      <c r="B16" s="183"/>
      <c r="C16" s="183"/>
      <c r="D16" s="183"/>
      <c r="E16" s="183"/>
      <c r="F16" s="183"/>
    </row>
    <row r="17" spans="1:6" ht="15" customHeight="1" x14ac:dyDescent="0.2">
      <c r="A17" s="175" t="s">
        <v>729</v>
      </c>
      <c r="B17" s="174">
        <v>20000</v>
      </c>
      <c r="C17" s="174">
        <v>20000</v>
      </c>
      <c r="D17" s="217">
        <f>IF(Assumptions!$B$5=1,B17,C17)</f>
        <v>20000</v>
      </c>
      <c r="E17" s="183"/>
      <c r="F17" s="183"/>
    </row>
    <row r="18" spans="1:6" ht="15" customHeight="1" x14ac:dyDescent="0.2">
      <c r="A18" s="175" t="s">
        <v>730</v>
      </c>
      <c r="B18" s="174">
        <v>35000</v>
      </c>
      <c r="C18" s="174">
        <v>35000</v>
      </c>
      <c r="D18" s="217">
        <f>IF(Assumptions!$B$5=1,B18,C18)</f>
        <v>35000</v>
      </c>
      <c r="E18" s="183"/>
      <c r="F18" s="183"/>
    </row>
    <row r="19" spans="1:6" ht="15" customHeight="1" x14ac:dyDescent="0.2">
      <c r="A19" s="175" t="s">
        <v>731</v>
      </c>
      <c r="B19" s="174">
        <v>50000</v>
      </c>
      <c r="C19" s="174">
        <v>50000</v>
      </c>
      <c r="D19" s="217">
        <f>IF(Assumptions!$B$5=1,B19,C19)</f>
        <v>50000</v>
      </c>
      <c r="E19" s="183"/>
      <c r="F19" s="183"/>
    </row>
    <row r="20" spans="1:6" x14ac:dyDescent="0.2">
      <c r="A20" s="175" t="s">
        <v>558</v>
      </c>
      <c r="B20" s="174">
        <v>150000</v>
      </c>
      <c r="C20" s="174">
        <v>150000</v>
      </c>
      <c r="D20" s="217">
        <f>IF(Assumptions!$B$5=1,B20,C20)</f>
        <v>150000</v>
      </c>
      <c r="E20" s="183"/>
      <c r="F20" s="183"/>
    </row>
    <row r="21" spans="1:6" x14ac:dyDescent="0.2">
      <c r="A21" s="175" t="s">
        <v>732</v>
      </c>
      <c r="B21" s="174">
        <v>15000</v>
      </c>
      <c r="C21" s="174">
        <v>15000</v>
      </c>
      <c r="D21" s="217">
        <f>IF(Assumptions!$B$5=1,B21,C21)</f>
        <v>15000</v>
      </c>
      <c r="E21" s="183"/>
      <c r="F21" s="183"/>
    </row>
    <row r="22" spans="1:6" x14ac:dyDescent="0.2">
      <c r="A22" s="176" t="s">
        <v>733</v>
      </c>
      <c r="B22" s="177">
        <f>SUM(B17:B21)</f>
        <v>270000</v>
      </c>
      <c r="C22" s="177">
        <f>SUM(C17:C21)</f>
        <v>270000</v>
      </c>
      <c r="D22" s="177">
        <f>IF(Assumptions!$B$5=1,B22,C22)</f>
        <v>270000</v>
      </c>
      <c r="E22" s="183"/>
      <c r="F22" s="183"/>
    </row>
    <row r="23" spans="1:6" x14ac:dyDescent="0.2">
      <c r="A23" s="183"/>
      <c r="B23" s="183"/>
      <c r="C23" s="183"/>
      <c r="D23" s="183"/>
      <c r="E23" s="183"/>
      <c r="F23" s="183"/>
    </row>
    <row r="24" spans="1:6" x14ac:dyDescent="0.2">
      <c r="A24" s="224" t="s">
        <v>453</v>
      </c>
      <c r="B24" s="183"/>
      <c r="C24" s="183"/>
      <c r="D24" s="183"/>
      <c r="E24" s="183"/>
      <c r="F24" s="183"/>
    </row>
    <row r="25" spans="1:6" x14ac:dyDescent="0.2">
      <c r="A25" s="175" t="s">
        <v>734</v>
      </c>
      <c r="B25" s="174">
        <v>240000</v>
      </c>
      <c r="C25" s="174">
        <v>240000</v>
      </c>
      <c r="D25" s="217">
        <f>IF(Assumptions!$B$5=1,B25,C25)</f>
        <v>240000</v>
      </c>
      <c r="E25" s="144" t="s">
        <v>735</v>
      </c>
      <c r="F25" s="183"/>
    </row>
    <row r="26" spans="1:6" x14ac:dyDescent="0.2">
      <c r="A26" s="175" t="s">
        <v>736</v>
      </c>
      <c r="B26" s="174">
        <v>150000</v>
      </c>
      <c r="C26" s="174">
        <v>150000</v>
      </c>
      <c r="D26" s="217">
        <f>IF(Assumptions!$B$5=1,B26,C26)</f>
        <v>150000</v>
      </c>
      <c r="E26" s="183"/>
      <c r="F26" s="183"/>
    </row>
    <row r="27" spans="1:6" x14ac:dyDescent="0.2">
      <c r="A27" s="175" t="s">
        <v>737</v>
      </c>
      <c r="B27" s="174">
        <v>100000</v>
      </c>
      <c r="C27" s="174">
        <v>100000</v>
      </c>
      <c r="D27" s="217">
        <f>IF(Assumptions!$B$5=1,B27,C27)</f>
        <v>100000</v>
      </c>
      <c r="E27" s="183"/>
      <c r="F27" s="183"/>
    </row>
    <row r="28" spans="1:6" x14ac:dyDescent="0.2">
      <c r="A28" s="176" t="s">
        <v>738</v>
      </c>
      <c r="B28" s="177">
        <f>SUM(B25:B27)</f>
        <v>490000</v>
      </c>
      <c r="C28" s="177">
        <f>SUM(C25:C27)</f>
        <v>490000</v>
      </c>
      <c r="D28" s="177">
        <f>IF(Assumptions!$B$5=1,B28,C28)</f>
        <v>490000</v>
      </c>
      <c r="E28" s="183"/>
      <c r="F28" s="183"/>
    </row>
    <row r="29" spans="1:6" x14ac:dyDescent="0.2">
      <c r="A29" s="183"/>
      <c r="B29" s="183"/>
      <c r="C29" s="183"/>
      <c r="D29" s="183"/>
      <c r="E29" s="183"/>
      <c r="F29" s="183"/>
    </row>
    <row r="30" spans="1:6" x14ac:dyDescent="0.2">
      <c r="A30" s="218" t="s">
        <v>739</v>
      </c>
      <c r="B30" s="174">
        <v>60000</v>
      </c>
      <c r="C30" s="174">
        <v>60000</v>
      </c>
      <c r="D30" s="217">
        <f>IF(Assumptions!$B$5=1,B30,C30)</f>
        <v>60000</v>
      </c>
      <c r="E30" s="144" t="s">
        <v>740</v>
      </c>
      <c r="F30" s="183"/>
    </row>
    <row r="31" spans="1:6" x14ac:dyDescent="0.2">
      <c r="A31" s="218" t="s">
        <v>741</v>
      </c>
      <c r="B31" s="174">
        <v>350000</v>
      </c>
      <c r="C31" s="174">
        <v>350000</v>
      </c>
      <c r="D31" s="217">
        <f>IF(Assumptions!$B$5=1,B31,C31)</f>
        <v>350000</v>
      </c>
      <c r="E31" s="183"/>
      <c r="F31" s="183"/>
    </row>
    <row r="32" spans="1:6" x14ac:dyDescent="0.2">
      <c r="A32" s="183"/>
      <c r="B32" s="183"/>
      <c r="C32" s="183"/>
      <c r="D32" s="183"/>
      <c r="E32" s="183"/>
      <c r="F32" s="183"/>
    </row>
    <row r="33" spans="1:6" x14ac:dyDescent="0.2">
      <c r="A33" s="224" t="s">
        <v>742</v>
      </c>
      <c r="B33" s="183"/>
      <c r="C33" s="183"/>
      <c r="D33" s="183"/>
      <c r="E33" s="183"/>
      <c r="F33" s="183"/>
    </row>
    <row r="34" spans="1:6" x14ac:dyDescent="0.2">
      <c r="A34" s="175" t="s">
        <v>743</v>
      </c>
      <c r="B34" s="174">
        <v>40000</v>
      </c>
      <c r="C34" s="174">
        <v>40000</v>
      </c>
      <c r="D34" s="217">
        <f>IF(Assumptions!$B$5=1,B34,C34)</f>
        <v>40000</v>
      </c>
      <c r="E34" s="183"/>
      <c r="F34" s="183"/>
    </row>
    <row r="35" spans="1:6" x14ac:dyDescent="0.2">
      <c r="A35" s="175" t="s">
        <v>744</v>
      </c>
      <c r="B35" s="174">
        <v>50000</v>
      </c>
      <c r="C35" s="174">
        <v>50000</v>
      </c>
      <c r="D35" s="217">
        <f>IF(Assumptions!$B$5=1,B35,C35)</f>
        <v>50000</v>
      </c>
      <c r="E35" s="183"/>
      <c r="F35" s="183"/>
    </row>
    <row r="36" spans="1:6" x14ac:dyDescent="0.2">
      <c r="A36" s="175" t="s">
        <v>745</v>
      </c>
      <c r="B36" s="174">
        <v>32000</v>
      </c>
      <c r="C36" s="174">
        <v>32000</v>
      </c>
      <c r="D36" s="217">
        <f>IF(Assumptions!$B$5=1,B36,C36)</f>
        <v>32000</v>
      </c>
      <c r="E36" s="183"/>
      <c r="F36" s="183"/>
    </row>
    <row r="37" spans="1:6" x14ac:dyDescent="0.2">
      <c r="A37" s="175" t="s">
        <v>746</v>
      </c>
      <c r="B37" s="174">
        <v>10000</v>
      </c>
      <c r="C37" s="174">
        <v>10000</v>
      </c>
      <c r="D37" s="217">
        <f>IF(Assumptions!$B$5=1,B37,C37)</f>
        <v>10000</v>
      </c>
      <c r="E37" s="183"/>
      <c r="F37" s="183"/>
    </row>
    <row r="38" spans="1:6" x14ac:dyDescent="0.2">
      <c r="A38" s="175" t="s">
        <v>747</v>
      </c>
      <c r="B38" s="174">
        <v>80000</v>
      </c>
      <c r="C38" s="174">
        <v>80000</v>
      </c>
      <c r="D38" s="217">
        <f>IF(Assumptions!$B$5=1,B38,C38)</f>
        <v>80000</v>
      </c>
      <c r="E38" s="144" t="s">
        <v>748</v>
      </c>
      <c r="F38" s="183"/>
    </row>
    <row r="39" spans="1:6" x14ac:dyDescent="0.2">
      <c r="A39" s="176" t="s">
        <v>749</v>
      </c>
      <c r="B39" s="177">
        <f>SUM(B34:B38)</f>
        <v>212000</v>
      </c>
      <c r="C39" s="177">
        <f>SUM(C34:C38)</f>
        <v>212000</v>
      </c>
      <c r="D39" s="177">
        <f>IF(Assumptions!$B$5=1,B39,C39)</f>
        <v>212000</v>
      </c>
      <c r="E39" s="183"/>
      <c r="F39" s="183"/>
    </row>
    <row r="40" spans="1:6" x14ac:dyDescent="0.2">
      <c r="A40" s="183"/>
      <c r="B40" s="183"/>
      <c r="C40" s="183"/>
      <c r="D40" s="183"/>
      <c r="E40" s="183"/>
      <c r="F40" s="183"/>
    </row>
    <row r="41" spans="1:6" x14ac:dyDescent="0.2">
      <c r="A41" s="224" t="s">
        <v>750</v>
      </c>
      <c r="B41" s="183"/>
      <c r="C41" s="183"/>
      <c r="D41" s="183"/>
      <c r="E41" s="183"/>
      <c r="F41" s="183"/>
    </row>
    <row r="42" spans="1:6" x14ac:dyDescent="0.2">
      <c r="A42" s="175" t="s">
        <v>751</v>
      </c>
      <c r="B42" s="174">
        <v>120000</v>
      </c>
      <c r="C42" s="174">
        <v>120000</v>
      </c>
      <c r="D42" s="217">
        <f>IF(Assumptions!$B$5=1,B42,C42)</f>
        <v>120000</v>
      </c>
      <c r="E42" s="183"/>
      <c r="F42" s="183"/>
    </row>
    <row r="43" spans="1:6" x14ac:dyDescent="0.2">
      <c r="A43" s="175" t="s">
        <v>752</v>
      </c>
      <c r="B43" s="174">
        <v>200000</v>
      </c>
      <c r="C43" s="174">
        <v>150000</v>
      </c>
      <c r="D43" s="217">
        <f>IF(Assumptions!$B$5=1,B43,C43)</f>
        <v>200000</v>
      </c>
      <c r="E43" s="144" t="s">
        <v>753</v>
      </c>
      <c r="F43" s="183"/>
    </row>
    <row r="44" spans="1:6" x14ac:dyDescent="0.2">
      <c r="A44" s="175" t="s">
        <v>754</v>
      </c>
      <c r="B44" s="174">
        <v>200000</v>
      </c>
      <c r="C44" s="174">
        <v>150000</v>
      </c>
      <c r="D44" s="217">
        <f>IF(Assumptions!$B$5=1,B44,C44)</f>
        <v>200000</v>
      </c>
      <c r="E44" s="183"/>
      <c r="F44" s="183"/>
    </row>
    <row r="45" spans="1:6" x14ac:dyDescent="0.2">
      <c r="A45" s="175" t="s">
        <v>755</v>
      </c>
      <c r="B45" s="174">
        <v>60000</v>
      </c>
      <c r="C45" s="174">
        <v>60000</v>
      </c>
      <c r="D45" s="217">
        <f>IF(Assumptions!$B$5=1,B45,C45)</f>
        <v>60000</v>
      </c>
      <c r="E45" s="183"/>
      <c r="F45" s="183"/>
    </row>
    <row r="46" spans="1:6" x14ac:dyDescent="0.2">
      <c r="A46" s="175" t="s">
        <v>756</v>
      </c>
      <c r="B46" s="174">
        <v>60000</v>
      </c>
      <c r="C46" s="174">
        <v>60000</v>
      </c>
      <c r="D46" s="217">
        <f>IF(Assumptions!$B$5=1,B46,C46)</f>
        <v>60000</v>
      </c>
      <c r="E46" s="144" t="s">
        <v>757</v>
      </c>
      <c r="F46" s="183"/>
    </row>
    <row r="47" spans="1:6" x14ac:dyDescent="0.2">
      <c r="A47" s="175" t="s">
        <v>758</v>
      </c>
      <c r="B47" s="174">
        <v>250000</v>
      </c>
      <c r="C47" s="174">
        <v>250000</v>
      </c>
      <c r="D47" s="217">
        <f>IF(Assumptions!$B$5=1,B47,C47)</f>
        <v>250000</v>
      </c>
      <c r="E47" s="183"/>
      <c r="F47" s="183"/>
    </row>
    <row r="48" spans="1:6" x14ac:dyDescent="0.2">
      <c r="A48" s="176" t="s">
        <v>759</v>
      </c>
      <c r="B48" s="177">
        <f>SUM(B42:B47)</f>
        <v>890000</v>
      </c>
      <c r="C48" s="177">
        <f>SUM(C42:C47)</f>
        <v>790000</v>
      </c>
      <c r="D48" s="177">
        <f>IF(Assumptions!$B$5=1,B48,C48)</f>
        <v>890000</v>
      </c>
      <c r="E48" s="183"/>
      <c r="F48" s="183"/>
    </row>
    <row r="49" spans="1:6" x14ac:dyDescent="0.2">
      <c r="A49" s="183"/>
      <c r="B49" s="183"/>
      <c r="C49" s="183"/>
      <c r="D49" s="183"/>
      <c r="E49" s="183"/>
      <c r="F49" s="183"/>
    </row>
    <row r="50" spans="1:6" x14ac:dyDescent="0.2">
      <c r="A50" s="218" t="s">
        <v>760</v>
      </c>
      <c r="B50" s="174">
        <v>100000</v>
      </c>
      <c r="C50" s="174">
        <v>100000</v>
      </c>
      <c r="D50" s="217">
        <f>IF(Assumptions!$B$5=1,B50,C50)</f>
        <v>100000</v>
      </c>
      <c r="E50" s="144" t="s">
        <v>761</v>
      </c>
      <c r="F50" s="183"/>
    </row>
    <row r="51" spans="1:6" x14ac:dyDescent="0.2">
      <c r="A51" s="218" t="s">
        <v>762</v>
      </c>
      <c r="B51" s="174">
        <f>(Assumptions!C140*1+Assumptions!C141*2+Assumptions!C142*1+Assumptions!C145*1)/12*Assumptions!B24</f>
        <v>132000</v>
      </c>
      <c r="C51" s="174">
        <f>(Assumptions!C140*1+Assumptions!C141*1+Assumptions!C142*1+Assumptions!C145*1)/12*Assumptions!C24</f>
        <v>111000</v>
      </c>
      <c r="D51" s="217">
        <f>IF(Assumptions!$B$5=1,B51,C51)</f>
        <v>132000</v>
      </c>
      <c r="E51" s="144" t="s">
        <v>763</v>
      </c>
      <c r="F51" s="183"/>
    </row>
    <row r="52" spans="1:6" x14ac:dyDescent="0.2">
      <c r="A52" s="218" t="s">
        <v>764</v>
      </c>
      <c r="B52" s="174">
        <f>(Assumptions!B9*Assumptions!B12+Assumptions!C140*1+Assumptions!C141*2+Assumptions!C142*1+Assumptions!C145*1)/12*Assumptions!B24</f>
        <v>336600</v>
      </c>
      <c r="C52" s="174">
        <f>(Assumptions!C9*Assumptions!C12+Assumptions!C140*1+Assumptions!C141*1+Assumptions!C142*1+Assumptions!C145*1)/12*Assumptions!C24</f>
        <v>259500</v>
      </c>
      <c r="D52" s="217">
        <f>IF(Assumptions!$B$5=1,B52,C52)</f>
        <v>336600</v>
      </c>
      <c r="E52" s="144" t="s">
        <v>765</v>
      </c>
      <c r="F52" s="183"/>
    </row>
    <row r="53" spans="1:6" x14ac:dyDescent="0.2">
      <c r="A53" s="183"/>
      <c r="B53" s="183"/>
      <c r="C53" s="183"/>
      <c r="D53" s="183"/>
      <c r="E53" s="183"/>
      <c r="F53" s="183"/>
    </row>
    <row r="54" spans="1:6" x14ac:dyDescent="0.2">
      <c r="A54" s="176" t="s">
        <v>766</v>
      </c>
      <c r="B54" s="177">
        <f>B4+B5+B14+B22+B28+B30+B31+B39+B48+B50+B51+B52</f>
        <v>6259200</v>
      </c>
      <c r="C54" s="177">
        <f>C4+C5+C14+C22+C28+C30+C31+C39+C48+C50+C51+C52</f>
        <v>5291000</v>
      </c>
      <c r="D54" s="177">
        <f>IF(Assumptions!$B$5=1,B54,C54)</f>
        <v>6259200</v>
      </c>
      <c r="E54" s="183"/>
      <c r="F54" s="183"/>
    </row>
    <row r="55" spans="1:6" x14ac:dyDescent="0.2">
      <c r="A55" s="365" t="s">
        <v>767</v>
      </c>
      <c r="B55" s="174">
        <f>B54*0.05</f>
        <v>312960</v>
      </c>
      <c r="C55" s="174">
        <f>C54*0.05</f>
        <v>264550</v>
      </c>
      <c r="D55" s="217">
        <f>IF(Assumptions!$B$5=1,B55,C55)</f>
        <v>312960</v>
      </c>
      <c r="E55" s="183"/>
      <c r="F55" s="183"/>
    </row>
    <row r="56" spans="1:6" x14ac:dyDescent="0.2">
      <c r="A56" s="140" t="s">
        <v>768</v>
      </c>
      <c r="B56" s="178">
        <f>B54+B55</f>
        <v>6572160</v>
      </c>
      <c r="C56" s="178">
        <f>C54+C55</f>
        <v>5555550</v>
      </c>
      <c r="D56" s="178">
        <f>IF(Assumptions!$B$5=1,B56,C56)</f>
        <v>6572160</v>
      </c>
      <c r="E56" s="183"/>
      <c r="F56" s="183"/>
    </row>
    <row r="57" spans="1:6" x14ac:dyDescent="0.2">
      <c r="A57" s="376"/>
      <c r="B57" s="377"/>
      <c r="C57" s="377"/>
      <c r="D57" s="377"/>
      <c r="E57" s="183"/>
      <c r="F57" s="183"/>
    </row>
    <row r="58" spans="1:6" x14ac:dyDescent="0.2">
      <c r="A58" s="380" t="s">
        <v>769</v>
      </c>
      <c r="B58" s="378"/>
      <c r="C58" s="378"/>
      <c r="D58" s="378"/>
      <c r="E58" s="379"/>
      <c r="F58" s="183"/>
    </row>
    <row r="59" spans="1:6" x14ac:dyDescent="0.2">
      <c r="A59" s="383" t="s">
        <v>770</v>
      </c>
      <c r="B59" s="381">
        <f>B5+B14+B22+B28+B30+B31+B39+B42</f>
        <v>4716000</v>
      </c>
      <c r="C59" s="381">
        <f>C5+C14+C22+C28+C30+C31+C39+C42</f>
        <v>4002000</v>
      </c>
      <c r="D59" s="381">
        <f>IF(Assumptions!$B$5=1,B59,C59)</f>
        <v>4716000</v>
      </c>
      <c r="E59" s="385" t="s">
        <v>771</v>
      </c>
      <c r="F59" s="183"/>
    </row>
    <row r="60" spans="1:6" x14ac:dyDescent="0.2">
      <c r="A60" s="386" t="s">
        <v>772</v>
      </c>
      <c r="B60" s="384">
        <f>B56-B59</f>
        <v>1856160</v>
      </c>
      <c r="C60" s="384">
        <f>C56-C59</f>
        <v>1553550</v>
      </c>
      <c r="D60" s="384">
        <f>IF(Assumptions!$B$5=1,B60,C60)</f>
        <v>1856160</v>
      </c>
      <c r="E60" s="382" t="s">
        <v>773</v>
      </c>
      <c r="F60" s="183"/>
    </row>
    <row r="61" spans="1:6" x14ac:dyDescent="0.2">
      <c r="A61" s="387" t="s">
        <v>774</v>
      </c>
      <c r="B61" s="388">
        <f>B59+B60-B56</f>
        <v>0</v>
      </c>
      <c r="C61" s="388">
        <f>C59+C60-C56</f>
        <v>0</v>
      </c>
      <c r="D61" s="388">
        <f>D59+D60-D56</f>
        <v>0</v>
      </c>
      <c r="E61" s="183"/>
      <c r="F61" s="183"/>
    </row>
    <row r="62" spans="1:6" x14ac:dyDescent="0.2">
      <c r="A62" s="183"/>
      <c r="B62" s="183"/>
      <c r="C62" s="183"/>
      <c r="D62" s="183"/>
      <c r="E62" s="183"/>
      <c r="F62" s="183"/>
    </row>
    <row r="63" spans="1:6" x14ac:dyDescent="0.2">
      <c r="A63" s="183"/>
      <c r="B63" s="183"/>
      <c r="C63" s="183"/>
      <c r="D63" s="183"/>
      <c r="E63" s="183"/>
      <c r="F63" s="183"/>
    </row>
    <row r="64" spans="1:6" x14ac:dyDescent="0.2">
      <c r="A64" s="183"/>
      <c r="B64" s="183"/>
      <c r="C64" s="183"/>
      <c r="D64" s="183"/>
      <c r="E64" s="183"/>
      <c r="F64" s="183"/>
    </row>
  </sheetData>
  <pageMargins left="0.75" right="0.75" top="1" bottom="1" header="0.511811023622047" footer="0.511811023622047"/>
  <pageSetup paperSize="9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L158"/>
  <sheetViews>
    <sheetView topLeftCell="A98" zoomScale="151" zoomScaleNormal="100" workbookViewId="0">
      <selection activeCell="B116" sqref="B116"/>
    </sheetView>
  </sheetViews>
  <sheetFormatPr baseColWidth="10" defaultColWidth="8.6640625" defaultRowHeight="15" outlineLevelRow="1" x14ac:dyDescent="0.2"/>
  <cols>
    <col min="1" max="1" width="38" customWidth="1"/>
    <col min="2" max="3" width="14" customWidth="1"/>
    <col min="4" max="4" width="16.83203125" customWidth="1"/>
    <col min="5" max="12" width="14" customWidth="1"/>
  </cols>
  <sheetData>
    <row r="1" spans="1:12" ht="27.75" customHeight="1" x14ac:dyDescent="0.2">
      <c r="A1" s="677" t="s">
        <v>775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</row>
    <row r="2" spans="1:12" x14ac:dyDescent="0.2">
      <c r="A2" s="218" t="s">
        <v>776</v>
      </c>
      <c r="B2" s="259">
        <v>45658</v>
      </c>
      <c r="C2" s="259">
        <v>46023</v>
      </c>
      <c r="D2" s="259">
        <v>46388</v>
      </c>
      <c r="E2" s="259">
        <v>46753</v>
      </c>
      <c r="F2" s="259">
        <v>47119</v>
      </c>
      <c r="G2" s="259">
        <v>47484</v>
      </c>
      <c r="H2" s="259">
        <v>47849</v>
      </c>
      <c r="I2" s="259">
        <v>48214</v>
      </c>
      <c r="J2" s="259">
        <v>48580</v>
      </c>
      <c r="K2" s="259">
        <v>48945</v>
      </c>
      <c r="L2" s="259">
        <v>49310</v>
      </c>
    </row>
    <row r="3" spans="1:12" ht="21.75" customHeight="1" x14ac:dyDescent="0.2">
      <c r="A3" s="253" t="s">
        <v>662</v>
      </c>
      <c r="B3" s="254" t="s">
        <v>777</v>
      </c>
      <c r="C3" s="254" t="s">
        <v>566</v>
      </c>
      <c r="D3" s="254" t="s">
        <v>567</v>
      </c>
      <c r="E3" s="254" t="s">
        <v>568</v>
      </c>
      <c r="F3" s="254" t="s">
        <v>569</v>
      </c>
      <c r="G3" s="254" t="s">
        <v>570</v>
      </c>
      <c r="H3" s="254" t="s">
        <v>571</v>
      </c>
      <c r="I3" s="254" t="s">
        <v>572</v>
      </c>
      <c r="J3" s="254" t="s">
        <v>573</v>
      </c>
      <c r="K3" s="254" t="s">
        <v>574</v>
      </c>
      <c r="L3" s="254" t="s">
        <v>575</v>
      </c>
    </row>
    <row r="4" spans="1:12" ht="15" customHeight="1" x14ac:dyDescent="0.2">
      <c r="A4" s="210" t="s">
        <v>778</v>
      </c>
      <c r="B4" s="110">
        <f>-CapEx!D56*Assumptions!$E$48</f>
        <v>-6572160</v>
      </c>
      <c r="C4" s="258">
        <v>0</v>
      </c>
      <c r="D4" s="258">
        <v>0</v>
      </c>
      <c r="E4" s="258">
        <v>0</v>
      </c>
      <c r="F4" s="258">
        <v>0</v>
      </c>
      <c r="G4" s="258">
        <v>0</v>
      </c>
      <c r="H4" s="258">
        <v>0</v>
      </c>
      <c r="I4" s="258">
        <v>0</v>
      </c>
      <c r="J4" s="258">
        <v>0</v>
      </c>
      <c r="K4" s="258">
        <v>0</v>
      </c>
      <c r="L4" s="258">
        <v>0</v>
      </c>
    </row>
    <row r="5" spans="1:12" ht="15" customHeight="1" x14ac:dyDescent="0.2">
      <c r="A5" s="210" t="s">
        <v>779</v>
      </c>
      <c r="B5" s="258">
        <v>0</v>
      </c>
      <c r="C5" s="110">
        <f>'P&amp;L'!B31*Assumptions!$E$47</f>
        <v>-321500.00000000047</v>
      </c>
      <c r="D5" s="110">
        <f>'P&amp;L'!C31*Assumptions!$E$47</f>
        <v>1166245.29514414</v>
      </c>
      <c r="E5" s="110">
        <f>'P&amp;L'!D31*Assumptions!$E$47</f>
        <v>2405141.3331956547</v>
      </c>
      <c r="F5" s="110">
        <f>'P&amp;L'!E31*Assumptions!$E$47</f>
        <v>3145465.6923353719</v>
      </c>
      <c r="G5" s="110">
        <f>'P&amp;L'!F31*Assumptions!$E$47</f>
        <v>4089253.9251981257</v>
      </c>
      <c r="H5" s="110">
        <f>'P&amp;L'!G31*Assumptions!$E$47</f>
        <v>5217811.3805710701</v>
      </c>
      <c r="I5" s="110">
        <f>'P&amp;L'!H31*Assumptions!$E$47</f>
        <v>6353312.1943138391</v>
      </c>
      <c r="J5" s="110">
        <f>'P&amp;L'!I31*Assumptions!$E$47</f>
        <v>7074625.4341734583</v>
      </c>
      <c r="K5" s="110">
        <f>'P&amp;L'!J31*Assumptions!$E$47</f>
        <v>7606966.4982081018</v>
      </c>
      <c r="L5" s="110">
        <f>'P&amp;L'!K31*Assumptions!$E$47</f>
        <v>8156901.4505495727</v>
      </c>
    </row>
    <row r="6" spans="1:12" ht="15" customHeight="1" x14ac:dyDescent="0.2">
      <c r="A6" s="18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ht="15" customHeight="1" x14ac:dyDescent="0.2">
      <c r="A7" s="87" t="s">
        <v>780</v>
      </c>
      <c r="B7" s="112">
        <f t="shared" ref="B7:L7" si="0">B4+B5</f>
        <v>-6572160</v>
      </c>
      <c r="C7" s="112">
        <f t="shared" si="0"/>
        <v>-321500.00000000047</v>
      </c>
      <c r="D7" s="112">
        <f t="shared" si="0"/>
        <v>1166245.29514414</v>
      </c>
      <c r="E7" s="112">
        <f t="shared" si="0"/>
        <v>2405141.3331956547</v>
      </c>
      <c r="F7" s="112">
        <f t="shared" si="0"/>
        <v>3145465.6923353719</v>
      </c>
      <c r="G7" s="112">
        <f t="shared" si="0"/>
        <v>4089253.9251981257</v>
      </c>
      <c r="H7" s="112">
        <f t="shared" si="0"/>
        <v>5217811.3805710701</v>
      </c>
      <c r="I7" s="112">
        <f t="shared" si="0"/>
        <v>6353312.1943138391</v>
      </c>
      <c r="J7" s="112">
        <f t="shared" si="0"/>
        <v>7074625.4341734583</v>
      </c>
      <c r="K7" s="112">
        <f t="shared" si="0"/>
        <v>7606966.4982081018</v>
      </c>
      <c r="L7" s="112">
        <f t="shared" si="0"/>
        <v>8156901.4505495727</v>
      </c>
    </row>
    <row r="8" spans="1:12" ht="15" customHeight="1" thickTop="1" thickBot="1" x14ac:dyDescent="0.25">
      <c r="A8" s="87" t="s">
        <v>781</v>
      </c>
      <c r="B8" s="112">
        <f>B7</f>
        <v>-6572160</v>
      </c>
      <c r="C8" s="112">
        <f t="shared" ref="C8:L8" si="1">B8+C7</f>
        <v>-6893660</v>
      </c>
      <c r="D8" s="112">
        <f t="shared" si="1"/>
        <v>-5727414.7048558602</v>
      </c>
      <c r="E8" s="112">
        <f t="shared" si="1"/>
        <v>-3322273.3716602055</v>
      </c>
      <c r="F8" s="112">
        <f t="shared" si="1"/>
        <v>-176807.67932483368</v>
      </c>
      <c r="G8" s="112">
        <f t="shared" si="1"/>
        <v>3912446.245873292</v>
      </c>
      <c r="H8" s="112">
        <f t="shared" si="1"/>
        <v>9130257.6264443621</v>
      </c>
      <c r="I8" s="112">
        <f t="shared" si="1"/>
        <v>15483569.820758201</v>
      </c>
      <c r="J8" s="112">
        <f t="shared" si="1"/>
        <v>22558195.254931659</v>
      </c>
      <c r="K8" s="112">
        <f t="shared" si="1"/>
        <v>30165161.75313976</v>
      </c>
      <c r="L8" s="112">
        <f t="shared" si="1"/>
        <v>38322063.203689337</v>
      </c>
    </row>
    <row r="9" spans="1:12" ht="15" customHeight="1" outlineLevel="1" thickTop="1" x14ac:dyDescent="0.2">
      <c r="A9" s="293" t="s">
        <v>782</v>
      </c>
      <c r="B9" s="294"/>
      <c r="C9" s="294"/>
      <c r="D9" s="294"/>
      <c r="E9" s="294"/>
      <c r="F9" s="294"/>
      <c r="G9" s="294">
        <f>IF('P&amp;L'!F20*'Exit Valuation'!$B$5-(-B7)&gt;375000,('P&amp;L'!F20*'Exit Valuation'!$B$5)-(('P&amp;L'!F20*'Exit Valuation'!$B$5-(-B7)-375000)*0.09),('P&amp;L'!F20*'Exit Valuation'!$B$5))</f>
        <v>32584201.51587072</v>
      </c>
      <c r="H9" s="294"/>
      <c r="I9" s="294"/>
      <c r="J9" s="294"/>
      <c r="K9" s="294"/>
      <c r="L9" s="294">
        <f>IF('P&amp;L'!K20*'Exit Valuation'!$B$5-(-B7)&gt;375000,('P&amp;L'!K20*'Exit Valuation'!$B$5)-(('P&amp;L'!K20*'Exit Valuation'!$B$5-(-B7)-375000)*0.09),('P&amp;L'!K20*'Exit Valuation'!$B$5))</f>
        <v>65610456.00439658</v>
      </c>
    </row>
    <row r="10" spans="1:12" ht="15" customHeight="1" outlineLevel="1" x14ac:dyDescent="0.2">
      <c r="A10" s="293" t="s">
        <v>783</v>
      </c>
      <c r="B10" s="294">
        <f>B7</f>
        <v>-6572160</v>
      </c>
      <c r="C10" s="294">
        <f>C7</f>
        <v>-321500.00000000047</v>
      </c>
      <c r="D10" s="294">
        <f>D7</f>
        <v>1166245.29514414</v>
      </c>
      <c r="E10" s="294">
        <f>E7</f>
        <v>2405141.3331956547</v>
      </c>
      <c r="F10" s="294">
        <f>F7</f>
        <v>3145465.6923353719</v>
      </c>
      <c r="G10" s="294">
        <f>G7+G9</f>
        <v>36673455.441068843</v>
      </c>
      <c r="H10" s="294"/>
      <c r="I10" s="294"/>
      <c r="J10" s="294"/>
      <c r="K10" s="294"/>
      <c r="L10" s="294"/>
    </row>
    <row r="11" spans="1:12" ht="15" customHeight="1" outlineLevel="1" x14ac:dyDescent="0.2">
      <c r="A11" s="293" t="s">
        <v>784</v>
      </c>
      <c r="B11" s="294">
        <f t="shared" ref="B11:K11" si="2">B7</f>
        <v>-6572160</v>
      </c>
      <c r="C11" s="294">
        <f t="shared" si="2"/>
        <v>-321500.00000000047</v>
      </c>
      <c r="D11" s="294">
        <f t="shared" si="2"/>
        <v>1166245.29514414</v>
      </c>
      <c r="E11" s="294">
        <f t="shared" si="2"/>
        <v>2405141.3331956547</v>
      </c>
      <c r="F11" s="294">
        <f t="shared" si="2"/>
        <v>3145465.6923353719</v>
      </c>
      <c r="G11" s="294">
        <f t="shared" si="2"/>
        <v>4089253.9251981257</v>
      </c>
      <c r="H11" s="294">
        <f t="shared" si="2"/>
        <v>5217811.3805710701</v>
      </c>
      <c r="I11" s="294">
        <f t="shared" si="2"/>
        <v>6353312.1943138391</v>
      </c>
      <c r="J11" s="294">
        <f t="shared" si="2"/>
        <v>7074625.4341734583</v>
      </c>
      <c r="K11" s="294">
        <f t="shared" si="2"/>
        <v>7606966.4982081018</v>
      </c>
      <c r="L11" s="294">
        <f>L7+L9</f>
        <v>73767357.45494616</v>
      </c>
    </row>
    <row r="12" spans="1:12" ht="15" customHeight="1" x14ac:dyDescent="0.2">
      <c r="A12" s="18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</row>
    <row r="13" spans="1:12" ht="15" customHeight="1" x14ac:dyDescent="0.2">
      <c r="A13" s="210" t="s">
        <v>785</v>
      </c>
      <c r="B13" s="390">
        <v>1</v>
      </c>
      <c r="C13" s="391">
        <f>1/(1+Assumptions!$B$48)^0.5</f>
        <v>0.94491118252306794</v>
      </c>
      <c r="D13" s="391">
        <f>1/(1+Assumptions!$B$48)^1.5</f>
        <v>0.84367069868131062</v>
      </c>
      <c r="E13" s="391">
        <f>1/(1+Assumptions!$B$48)^2.5</f>
        <v>0.75327740953688449</v>
      </c>
      <c r="F13" s="391">
        <f>1/(1+Assumptions!$B$48)^3.5</f>
        <v>0.67256911565793243</v>
      </c>
      <c r="G13" s="391">
        <f>1/(1+Assumptions!$B$48)^4.5</f>
        <v>0.60050813898029676</v>
      </c>
      <c r="H13" s="391">
        <f>1/(1+Assumptions!$B$48)^5.5</f>
        <v>0.53616798123240783</v>
      </c>
      <c r="I13" s="391">
        <f>1/(1+Assumptions!$B$48)^6.5</f>
        <v>0.47872141181464972</v>
      </c>
      <c r="J13" s="391">
        <f>1/(1+Assumptions!$B$48)^7.5</f>
        <v>0.42742983197736584</v>
      </c>
      <c r="K13" s="391">
        <f>1/(1+Assumptions!$B$48)^8.5</f>
        <v>0.38163377855121944</v>
      </c>
      <c r="L13" s="391">
        <f>1/(1+Assumptions!$B$48)^9.5</f>
        <v>0.34074444513501739</v>
      </c>
    </row>
    <row r="14" spans="1:12" ht="15" customHeight="1" x14ac:dyDescent="0.2">
      <c r="A14" s="210" t="s">
        <v>786</v>
      </c>
      <c r="B14" s="258">
        <f t="shared" ref="B14:L14" si="3">B7*B13</f>
        <v>-6572160</v>
      </c>
      <c r="C14" s="258">
        <f t="shared" si="3"/>
        <v>-303788.94518116675</v>
      </c>
      <c r="D14" s="258">
        <f t="shared" si="3"/>
        <v>983926.98298804788</v>
      </c>
      <c r="E14" s="258">
        <f t="shared" si="3"/>
        <v>1811738.6330397115</v>
      </c>
      <c r="F14" s="258">
        <f t="shared" si="3"/>
        <v>2115543.079026367</v>
      </c>
      <c r="G14" s="258">
        <f t="shared" si="3"/>
        <v>2455630.2644386003</v>
      </c>
      <c r="H14" s="258">
        <f t="shared" si="3"/>
        <v>2797623.3943722737</v>
      </c>
      <c r="I14" s="258">
        <f t="shared" si="3"/>
        <v>3041466.5833611512</v>
      </c>
      <c r="J14" s="258">
        <f t="shared" si="3"/>
        <v>3023905.9606315601</v>
      </c>
      <c r="K14" s="258">
        <f t="shared" si="3"/>
        <v>2903075.3680236959</v>
      </c>
      <c r="L14" s="258">
        <f t="shared" si="3"/>
        <v>2779418.8587885327</v>
      </c>
    </row>
    <row r="15" spans="1:12" ht="15" customHeight="1" x14ac:dyDescent="0.2">
      <c r="A15" s="87" t="s">
        <v>787</v>
      </c>
      <c r="B15" s="112">
        <f>B14</f>
        <v>-6572160</v>
      </c>
      <c r="C15" s="112">
        <f t="shared" ref="C15:L15" si="4">B15+C14</f>
        <v>-6875948.9451811668</v>
      </c>
      <c r="D15" s="112">
        <f t="shared" si="4"/>
        <v>-5892021.9621931184</v>
      </c>
      <c r="E15" s="112">
        <f t="shared" si="4"/>
        <v>-4080283.3291534069</v>
      </c>
      <c r="F15" s="112">
        <f t="shared" si="4"/>
        <v>-1964740.2501270398</v>
      </c>
      <c r="G15" s="112">
        <f t="shared" si="4"/>
        <v>490890.01431156043</v>
      </c>
      <c r="H15" s="112">
        <f t="shared" si="4"/>
        <v>3288513.4086838341</v>
      </c>
      <c r="I15" s="112">
        <f t="shared" si="4"/>
        <v>6329979.9920449853</v>
      </c>
      <c r="J15" s="112">
        <f t="shared" si="4"/>
        <v>9353885.9526765458</v>
      </c>
      <c r="K15" s="112">
        <f t="shared" si="4"/>
        <v>12256961.320700241</v>
      </c>
      <c r="L15" s="112">
        <f t="shared" si="4"/>
        <v>15036380.179488774</v>
      </c>
    </row>
    <row r="16" spans="1:12" ht="15" customHeight="1" x14ac:dyDescent="0.2">
      <c r="A16" s="18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</row>
    <row r="17" spans="1:12" ht="15" customHeight="1" x14ac:dyDescent="0.2">
      <c r="A17" s="18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</row>
    <row r="18" spans="1:12" ht="15" customHeight="1" x14ac:dyDescent="0.2">
      <c r="A18" s="8" t="s">
        <v>788</v>
      </c>
      <c r="B18" s="117"/>
      <c r="C18" s="117"/>
      <c r="D18" s="117"/>
      <c r="E18" s="111"/>
      <c r="F18" s="111"/>
      <c r="G18" s="111"/>
      <c r="H18" s="111"/>
      <c r="I18" s="111"/>
      <c r="J18" s="111"/>
      <c r="K18" s="111"/>
      <c r="L18" s="111"/>
    </row>
    <row r="19" spans="1:12" ht="15" customHeight="1" x14ac:dyDescent="0.2">
      <c r="A19" s="212" t="s">
        <v>8</v>
      </c>
      <c r="B19" s="260" t="s">
        <v>9</v>
      </c>
      <c r="C19" s="260" t="s">
        <v>10</v>
      </c>
      <c r="D19" s="111"/>
      <c r="E19" s="111"/>
      <c r="F19" s="111"/>
      <c r="G19" s="111"/>
      <c r="H19" s="111"/>
      <c r="I19" s="111"/>
      <c r="J19" s="111"/>
      <c r="K19" s="111"/>
      <c r="L19" s="111"/>
    </row>
    <row r="20" spans="1:12" ht="15" customHeight="1" x14ac:dyDescent="0.2">
      <c r="A20" s="83" t="s">
        <v>789</v>
      </c>
      <c r="B20" s="118">
        <f>G15</f>
        <v>490890.01431156043</v>
      </c>
      <c r="C20" s="118">
        <f>L15</f>
        <v>15036380.179488774</v>
      </c>
      <c r="D20" s="118"/>
      <c r="E20" s="118"/>
      <c r="F20" s="118"/>
      <c r="G20" s="118"/>
      <c r="H20" s="118"/>
      <c r="I20" s="118"/>
      <c r="J20" s="118"/>
      <c r="K20" s="118"/>
      <c r="L20" s="118"/>
    </row>
    <row r="21" spans="1:12" ht="15" customHeight="1" x14ac:dyDescent="0.2">
      <c r="A21" s="83" t="s">
        <v>790</v>
      </c>
      <c r="B21" s="84">
        <f>XIRR(B7:G7,B2:G2)</f>
        <v>0.12431842684745789</v>
      </c>
      <c r="C21" s="84">
        <f>XIRR(B7:L7,B2:L2)</f>
        <v>0.34484328627586358</v>
      </c>
      <c r="D21" s="84"/>
      <c r="E21" s="84"/>
      <c r="F21" s="84"/>
      <c r="G21" s="84"/>
      <c r="H21" s="84"/>
      <c r="I21" s="84"/>
      <c r="J21" s="84"/>
      <c r="K21" s="84"/>
      <c r="L21" s="84"/>
    </row>
    <row r="22" spans="1:12" ht="15" customHeight="1" x14ac:dyDescent="0.2">
      <c r="A22" s="83" t="s">
        <v>791</v>
      </c>
      <c r="B22" s="292">
        <f t="array" ref="B22">IF(COUNTIF(C8:L8,"&gt;0")=0,"N/A",(MATCH(1,INDEX((C8:L8&gt;0)*1,,),0)-1)*12+(-INDEX(B8:K8,MATCH(1,INDEX((C8:L8&gt;0)*1,,),0)))/(INDEX(C8:L8,MATCH(1,INDEX((C8:L8&gt;0)*1,,),0))-INDEX(B8:K8,MATCH(1,INDEX((C8:L8&gt;0)*1,,),0)))*12)</f>
        <v>48.518845782313505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</row>
    <row r="23" spans="1:12" ht="15" customHeight="1" x14ac:dyDescent="0.2">
      <c r="A23" s="87" t="s">
        <v>14</v>
      </c>
      <c r="B23" s="88">
        <f>G8</f>
        <v>3912446.245873292</v>
      </c>
      <c r="C23" s="88">
        <f>L8</f>
        <v>38322063.203689337</v>
      </c>
      <c r="D23" s="103"/>
      <c r="E23" s="103"/>
      <c r="F23" s="103"/>
      <c r="G23" s="103"/>
      <c r="H23" s="103"/>
      <c r="I23" s="103"/>
      <c r="J23" s="103"/>
      <c r="K23" s="103"/>
      <c r="L23" s="103"/>
    </row>
    <row r="24" spans="1:12" x14ac:dyDescent="0.2">
      <c r="A24" s="218" t="s">
        <v>792</v>
      </c>
      <c r="B24" s="227">
        <f>(G8-B7)/-B7</f>
        <v>1.5953059946613124</v>
      </c>
      <c r="C24" s="227">
        <f>(L8-B7)/-B7</f>
        <v>6.830969301369616</v>
      </c>
    </row>
    <row r="25" spans="1:12" x14ac:dyDescent="0.2">
      <c r="A25" s="218" t="s">
        <v>793</v>
      </c>
      <c r="B25" s="211">
        <f>(G8-B7)/-B7-1</f>
        <v>0.5953059946613124</v>
      </c>
      <c r="C25" s="211">
        <f>(L8-B7)/-B7-1</f>
        <v>5.830969301369616</v>
      </c>
    </row>
    <row r="27" spans="1:12" x14ac:dyDescent="0.2">
      <c r="A27" s="295" t="s">
        <v>794</v>
      </c>
      <c r="B27" s="295"/>
      <c r="C27" s="295"/>
    </row>
    <row r="28" spans="1:12" x14ac:dyDescent="0.2">
      <c r="A28" s="301" t="s">
        <v>8</v>
      </c>
      <c r="B28" s="296" t="s">
        <v>9</v>
      </c>
      <c r="C28" s="296" t="s">
        <v>10</v>
      </c>
    </row>
    <row r="29" spans="1:12" ht="16" customHeight="1" thickBot="1" x14ac:dyDescent="0.25">
      <c r="A29" s="306" t="s">
        <v>795</v>
      </c>
      <c r="B29" s="307">
        <f>'Exit Valuation'!E21</f>
        <v>32584201.51587072</v>
      </c>
      <c r="C29" s="307">
        <f>'Exit Valuation'!E23</f>
        <v>65610456.00439658</v>
      </c>
    </row>
    <row r="30" spans="1:12" ht="16" customHeight="1" thickBot="1" x14ac:dyDescent="0.25">
      <c r="A30" s="310" t="s">
        <v>19</v>
      </c>
      <c r="B30" s="311">
        <f>B23+B29</f>
        <v>36496647.761744015</v>
      </c>
      <c r="C30" s="311">
        <f>C23+C29</f>
        <v>103932519.20808592</v>
      </c>
    </row>
    <row r="31" spans="1:12" ht="16" customHeight="1" thickTop="1" x14ac:dyDescent="0.2">
      <c r="A31" s="308" t="s">
        <v>796</v>
      </c>
      <c r="B31" s="309">
        <f>B20+'Exit Valuation'!E21*'Cash Flow &amp; DCF'!G13</f>
        <v>20057968.22676605</v>
      </c>
      <c r="C31" s="309">
        <f>C20+'Exit Valuation'!E23*'Cash Flow &amp; DCF'!L13</f>
        <v>37392778.605762362</v>
      </c>
    </row>
    <row r="32" spans="1:12" x14ac:dyDescent="0.2">
      <c r="A32" s="302" t="s">
        <v>797</v>
      </c>
      <c r="B32" s="297">
        <f>XIRR(B10:G10,B2:G2)</f>
        <v>0.49443884491920476</v>
      </c>
      <c r="C32" s="297">
        <f>XIRR(B11:L11,B2:L2)</f>
        <v>0.42758073210716252</v>
      </c>
    </row>
    <row r="33" spans="1:12" x14ac:dyDescent="0.2">
      <c r="A33" s="303" t="s">
        <v>798</v>
      </c>
      <c r="B33" s="298">
        <f>B30/-B7</f>
        <v>5.5532196053875769</v>
      </c>
      <c r="C33" s="298">
        <f>C30/-B7</f>
        <v>15.814057966952406</v>
      </c>
    </row>
    <row r="34" spans="1:12" x14ac:dyDescent="0.2">
      <c r="A34" s="304" t="s">
        <v>799</v>
      </c>
      <c r="B34" s="299">
        <f>B24</f>
        <v>1.5953059946613124</v>
      </c>
      <c r="C34" s="299">
        <f>C24</f>
        <v>6.830969301369616</v>
      </c>
    </row>
    <row r="35" spans="1:12" x14ac:dyDescent="0.2">
      <c r="A35" s="305" t="s">
        <v>800</v>
      </c>
      <c r="B35" s="300">
        <f>'Exit Valuation'!B5</f>
        <v>8</v>
      </c>
      <c r="C35" s="300">
        <f>'Exit Valuation'!B5</f>
        <v>8</v>
      </c>
    </row>
    <row r="38" spans="1:12" ht="19" customHeight="1" x14ac:dyDescent="0.25">
      <c r="A38" s="545" t="s">
        <v>801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</row>
    <row r="40" spans="1:12" x14ac:dyDescent="0.2">
      <c r="A40" s="552" t="s">
        <v>802</v>
      </c>
      <c r="B40" s="553"/>
      <c r="C40" s="554"/>
      <c r="D40" s="547"/>
      <c r="E40" s="547"/>
      <c r="F40" s="547"/>
      <c r="G40" s="547"/>
      <c r="H40" s="547"/>
      <c r="I40" s="547"/>
      <c r="J40" s="547"/>
      <c r="K40" s="547"/>
      <c r="L40" s="547"/>
    </row>
    <row r="41" spans="1:12" x14ac:dyDescent="0.2">
      <c r="A41" s="555" t="s">
        <v>803</v>
      </c>
      <c r="B41" s="556">
        <f>CapEx!D56</f>
        <v>6572160</v>
      </c>
      <c r="C41" s="557" t="s">
        <v>804</v>
      </c>
    </row>
    <row r="42" spans="1:12" x14ac:dyDescent="0.2">
      <c r="A42" s="555" t="s">
        <v>805</v>
      </c>
      <c r="B42" s="556">
        <f>CapEx!D52</f>
        <v>336600</v>
      </c>
      <c r="C42" s="557" t="s">
        <v>806</v>
      </c>
    </row>
    <row r="43" spans="1:12" x14ac:dyDescent="0.2">
      <c r="A43" s="558" t="s">
        <v>6</v>
      </c>
      <c r="B43" s="559">
        <f>B41</f>
        <v>6572160</v>
      </c>
      <c r="C43" s="560" t="s">
        <v>807</v>
      </c>
    </row>
    <row r="44" spans="1:12" x14ac:dyDescent="0.2">
      <c r="A44" s="555"/>
      <c r="B44" s="561"/>
      <c r="C44" s="557"/>
    </row>
    <row r="45" spans="1:12" x14ac:dyDescent="0.2">
      <c r="A45" s="562" t="s">
        <v>808</v>
      </c>
      <c r="B45" s="563"/>
      <c r="C45" s="564"/>
    </row>
    <row r="46" spans="1:12" x14ac:dyDescent="0.2">
      <c r="A46" s="555" t="s">
        <v>809</v>
      </c>
      <c r="B46" s="565">
        <v>0.3</v>
      </c>
      <c r="C46" s="557" t="s">
        <v>810</v>
      </c>
    </row>
    <row r="47" spans="1:12" x14ac:dyDescent="0.2">
      <c r="A47" s="555" t="s">
        <v>811</v>
      </c>
      <c r="B47" s="565">
        <v>0.8</v>
      </c>
      <c r="C47" s="557" t="s">
        <v>812</v>
      </c>
    </row>
    <row r="48" spans="1:12" x14ac:dyDescent="0.2">
      <c r="A48" s="555" t="s">
        <v>813</v>
      </c>
      <c r="B48" s="565">
        <v>0.08</v>
      </c>
      <c r="C48" s="557" t="s">
        <v>814</v>
      </c>
    </row>
    <row r="49" spans="1:12" x14ac:dyDescent="0.2">
      <c r="A49" s="555"/>
      <c r="B49" s="561"/>
      <c r="C49" s="557"/>
    </row>
    <row r="50" spans="1:12" x14ac:dyDescent="0.2">
      <c r="A50" s="566" t="s">
        <v>815</v>
      </c>
      <c r="B50" s="567"/>
      <c r="C50" s="568"/>
    </row>
    <row r="51" spans="1:12" x14ac:dyDescent="0.2">
      <c r="A51" s="555" t="s">
        <v>816</v>
      </c>
      <c r="B51" s="565">
        <v>0.1</v>
      </c>
      <c r="C51" s="557" t="s">
        <v>817</v>
      </c>
    </row>
    <row r="52" spans="1:12" x14ac:dyDescent="0.2">
      <c r="A52" s="555" t="s">
        <v>818</v>
      </c>
      <c r="B52" s="569">
        <v>2.5</v>
      </c>
      <c r="C52" s="557" t="s">
        <v>819</v>
      </c>
    </row>
    <row r="53" spans="1:12" x14ac:dyDescent="0.2">
      <c r="A53" s="570" t="s">
        <v>820</v>
      </c>
      <c r="B53" s="571">
        <v>6</v>
      </c>
      <c r="C53" s="572" t="s">
        <v>821</v>
      </c>
    </row>
    <row r="55" spans="1:12" x14ac:dyDescent="0.2">
      <c r="A55" s="573" t="s">
        <v>822</v>
      </c>
      <c r="B55" s="573"/>
      <c r="C55" s="573"/>
      <c r="D55" s="573"/>
      <c r="E55" s="573"/>
      <c r="F55" s="573"/>
      <c r="G55" s="573"/>
      <c r="H55" s="573"/>
      <c r="I55" s="573"/>
      <c r="J55" s="573"/>
      <c r="K55" s="573"/>
      <c r="L55" s="573"/>
    </row>
    <row r="56" spans="1:12" x14ac:dyDescent="0.2">
      <c r="A56" s="574"/>
      <c r="B56" s="575" t="s">
        <v>777</v>
      </c>
      <c r="C56" s="575" t="s">
        <v>566</v>
      </c>
      <c r="D56" s="575" t="s">
        <v>567</v>
      </c>
      <c r="E56" s="575" t="s">
        <v>568</v>
      </c>
      <c r="F56" s="575" t="s">
        <v>569</v>
      </c>
      <c r="G56" s="575" t="s">
        <v>570</v>
      </c>
      <c r="H56" s="575" t="s">
        <v>571</v>
      </c>
      <c r="I56" s="575" t="s">
        <v>572</v>
      </c>
      <c r="J56" s="575" t="s">
        <v>573</v>
      </c>
      <c r="K56" s="575" t="s">
        <v>574</v>
      </c>
      <c r="L56" s="575" t="s">
        <v>575</v>
      </c>
    </row>
    <row r="57" spans="1:12" x14ac:dyDescent="0.2">
      <c r="A57" s="548" t="s">
        <v>823</v>
      </c>
      <c r="B57" s="576">
        <f>-$B$43</f>
        <v>-6572160</v>
      </c>
      <c r="C57" s="576">
        <v>0</v>
      </c>
      <c r="D57" s="576">
        <v>0</v>
      </c>
      <c r="E57" s="576">
        <v>0</v>
      </c>
      <c r="F57" s="576">
        <v>0</v>
      </c>
      <c r="G57" s="576">
        <v>0</v>
      </c>
      <c r="H57" s="576">
        <v>0</v>
      </c>
      <c r="I57" s="576">
        <v>0</v>
      </c>
      <c r="J57" s="576">
        <v>0</v>
      </c>
      <c r="K57" s="576">
        <v>0</v>
      </c>
      <c r="L57" s="576">
        <v>0</v>
      </c>
    </row>
    <row r="58" spans="1:12" x14ac:dyDescent="0.2">
      <c r="A58" s="548" t="s">
        <v>36</v>
      </c>
      <c r="B58" s="576">
        <v>0</v>
      </c>
      <c r="C58" s="577">
        <f>'P&amp;L'!B28</f>
        <v>-995214.28571428615</v>
      </c>
      <c r="D58" s="577">
        <f>'P&amp;L'!C28</f>
        <v>492531.00942985434</v>
      </c>
      <c r="E58" s="577">
        <f>'P&amp;L'!D28</f>
        <v>1731427.0474813688</v>
      </c>
      <c r="F58" s="577">
        <f>'P&amp;L'!E28</f>
        <v>2471751.4066210859</v>
      </c>
      <c r="G58" s="577">
        <f>'P&amp;L'!F28</f>
        <v>3415539.6394838402</v>
      </c>
      <c r="H58" s="577">
        <f>'P&amp;L'!G28</f>
        <v>4544097.0948567847</v>
      </c>
      <c r="I58" s="577">
        <f>'P&amp;L'!H28</f>
        <v>5679597.9085995536</v>
      </c>
      <c r="J58" s="577">
        <f>'P&amp;L'!I28</f>
        <v>7074625.4341734583</v>
      </c>
      <c r="K58" s="577">
        <f>'P&amp;L'!J28</f>
        <v>7606966.4982081018</v>
      </c>
      <c r="L58" s="577">
        <f>'P&amp;L'!K28</f>
        <v>8156901.4505495727</v>
      </c>
    </row>
    <row r="59" spans="1:12" x14ac:dyDescent="0.2">
      <c r="A59" s="548" t="s">
        <v>824</v>
      </c>
      <c r="B59" s="576">
        <v>0</v>
      </c>
      <c r="C59" s="576">
        <f t="shared" ref="C59:L59" si="5">MAX(0,C58)*$B$47</f>
        <v>0</v>
      </c>
      <c r="D59" s="576">
        <f t="shared" si="5"/>
        <v>394024.80754388351</v>
      </c>
      <c r="E59" s="576">
        <f t="shared" si="5"/>
        <v>1385141.6379850951</v>
      </c>
      <c r="F59" s="576">
        <f t="shared" si="5"/>
        <v>1977401.1252968688</v>
      </c>
      <c r="G59" s="576">
        <f t="shared" si="5"/>
        <v>2732431.7115870724</v>
      </c>
      <c r="H59" s="576">
        <f t="shared" si="5"/>
        <v>3635277.6758854277</v>
      </c>
      <c r="I59" s="576">
        <f t="shared" si="5"/>
        <v>4543678.3268796429</v>
      </c>
      <c r="J59" s="576">
        <f t="shared" si="5"/>
        <v>5659700.3473387668</v>
      </c>
      <c r="K59" s="576">
        <f t="shared" si="5"/>
        <v>6085573.1985664815</v>
      </c>
      <c r="L59" s="576">
        <f t="shared" si="5"/>
        <v>6525521.1604396589</v>
      </c>
    </row>
    <row r="60" spans="1:12" x14ac:dyDescent="0.2">
      <c r="A60" s="548" t="s">
        <v>825</v>
      </c>
      <c r="B60" s="576">
        <v>0</v>
      </c>
      <c r="C60" s="576">
        <f t="shared" ref="C60:L60" si="6">C59*$B$46</f>
        <v>0</v>
      </c>
      <c r="D60" s="576">
        <f t="shared" si="6"/>
        <v>118207.44226316505</v>
      </c>
      <c r="E60" s="576">
        <f t="shared" si="6"/>
        <v>415542.49139552854</v>
      </c>
      <c r="F60" s="576">
        <f t="shared" si="6"/>
        <v>593220.33758906065</v>
      </c>
      <c r="G60" s="576">
        <f t="shared" si="6"/>
        <v>819729.51347612171</v>
      </c>
      <c r="H60" s="576">
        <f t="shared" si="6"/>
        <v>1090583.3027656283</v>
      </c>
      <c r="I60" s="576">
        <f t="shared" si="6"/>
        <v>1363103.4980638928</v>
      </c>
      <c r="J60" s="576">
        <f t="shared" si="6"/>
        <v>1697910.10420163</v>
      </c>
      <c r="K60" s="576">
        <f t="shared" si="6"/>
        <v>1825671.9595699443</v>
      </c>
      <c r="L60" s="576">
        <f t="shared" si="6"/>
        <v>1957656.3481318976</v>
      </c>
    </row>
    <row r="61" spans="1:12" x14ac:dyDescent="0.2">
      <c r="A61" s="548"/>
      <c r="B61" s="576"/>
      <c r="C61" s="576"/>
      <c r="D61" s="576"/>
      <c r="E61" s="576"/>
      <c r="F61" s="576"/>
      <c r="G61" s="576"/>
      <c r="H61" s="576"/>
      <c r="I61" s="576"/>
      <c r="J61" s="576"/>
      <c r="K61" s="576"/>
      <c r="L61" s="576"/>
    </row>
    <row r="62" spans="1:12" x14ac:dyDescent="0.2">
      <c r="A62" s="550" t="s">
        <v>826</v>
      </c>
      <c r="B62" s="578">
        <f t="shared" ref="B62:L62" si="7">B57+B60</f>
        <v>-6572160</v>
      </c>
      <c r="C62" s="578">
        <f t="shared" si="7"/>
        <v>0</v>
      </c>
      <c r="D62" s="578">
        <f t="shared" si="7"/>
        <v>118207.44226316505</v>
      </c>
      <c r="E62" s="578">
        <f t="shared" si="7"/>
        <v>415542.49139552854</v>
      </c>
      <c r="F62" s="578">
        <f t="shared" si="7"/>
        <v>593220.33758906065</v>
      </c>
      <c r="G62" s="578">
        <f t="shared" si="7"/>
        <v>819729.51347612171</v>
      </c>
      <c r="H62" s="578">
        <f t="shared" si="7"/>
        <v>1090583.3027656283</v>
      </c>
      <c r="I62" s="578">
        <f t="shared" si="7"/>
        <v>1363103.4980638928</v>
      </c>
      <c r="J62" s="578">
        <f t="shared" si="7"/>
        <v>1697910.10420163</v>
      </c>
      <c r="K62" s="578">
        <f t="shared" si="7"/>
        <v>1825671.9595699443</v>
      </c>
      <c r="L62" s="578">
        <f t="shared" si="7"/>
        <v>1957656.3481318976</v>
      </c>
    </row>
    <row r="63" spans="1:12" x14ac:dyDescent="0.2">
      <c r="A63" s="550" t="s">
        <v>827</v>
      </c>
      <c r="B63" s="578">
        <f>B62</f>
        <v>-6572160</v>
      </c>
      <c r="C63" s="578">
        <f t="shared" ref="C63:L63" si="8">B63+C62</f>
        <v>-6572160</v>
      </c>
      <c r="D63" s="578">
        <f t="shared" si="8"/>
        <v>-6453952.5577368345</v>
      </c>
      <c r="E63" s="578">
        <f t="shared" si="8"/>
        <v>-6038410.0663413061</v>
      </c>
      <c r="F63" s="578">
        <f t="shared" si="8"/>
        <v>-5445189.7287522452</v>
      </c>
      <c r="G63" s="578">
        <f t="shared" si="8"/>
        <v>-4625460.215276124</v>
      </c>
      <c r="H63" s="578">
        <f t="shared" si="8"/>
        <v>-3534876.9125104956</v>
      </c>
      <c r="I63" s="578">
        <f t="shared" si="8"/>
        <v>-2171773.4144466026</v>
      </c>
      <c r="J63" s="578">
        <f t="shared" si="8"/>
        <v>-473863.31024497258</v>
      </c>
      <c r="K63" s="578">
        <f t="shared" si="8"/>
        <v>1351808.6493249717</v>
      </c>
      <c r="L63" s="578">
        <f t="shared" si="8"/>
        <v>3309464.9974568691</v>
      </c>
    </row>
    <row r="64" spans="1:12" x14ac:dyDescent="0.2">
      <c r="A64" s="54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</row>
    <row r="65" spans="1:12" x14ac:dyDescent="0.2">
      <c r="A65" s="548" t="s">
        <v>828</v>
      </c>
      <c r="B65" s="576"/>
      <c r="C65" s="576"/>
      <c r="D65" s="576"/>
      <c r="E65" s="576"/>
      <c r="F65" s="576"/>
      <c r="G65" s="577">
        <f>'P&amp;L'!F20*'Exit Valuation'!$B$5</f>
        <v>35119733.094363429</v>
      </c>
      <c r="H65" s="576"/>
      <c r="I65" s="576"/>
      <c r="J65" s="576"/>
      <c r="K65" s="576"/>
      <c r="L65" s="577">
        <f>'P&amp;L'!K20*'Exit Valuation'!$B$5</f>
        <v>71412320.444391847</v>
      </c>
    </row>
    <row r="66" spans="1:12" x14ac:dyDescent="0.2">
      <c r="A66" s="548" t="s">
        <v>829</v>
      </c>
      <c r="B66" s="576"/>
      <c r="C66" s="576"/>
      <c r="D66" s="576"/>
      <c r="E66" s="576"/>
      <c r="F66" s="576"/>
      <c r="G66" s="577">
        <f>G65*$B$46</f>
        <v>10535919.928309029</v>
      </c>
      <c r="H66" s="576"/>
      <c r="I66" s="576"/>
      <c r="J66" s="576"/>
      <c r="K66" s="576"/>
      <c r="L66" s="577">
        <f>L65*$B$46</f>
        <v>21423696.133317553</v>
      </c>
    </row>
    <row r="67" spans="1:12" x14ac:dyDescent="0.2">
      <c r="A67" s="548" t="s">
        <v>830</v>
      </c>
      <c r="B67" s="576"/>
      <c r="C67" s="576"/>
      <c r="D67" s="576"/>
      <c r="E67" s="576"/>
      <c r="F67" s="576"/>
      <c r="G67" s="577">
        <f>-IF(G66-(-B62)&gt;375000,(G66-(-B62)-375000)*Assumptions!$B$49,0)</f>
        <v>-322988.39354781259</v>
      </c>
      <c r="H67" s="576"/>
      <c r="I67" s="576"/>
      <c r="J67" s="576"/>
      <c r="K67" s="576"/>
      <c r="L67" s="577">
        <f>-IF(L66-(-B62)&gt;375000,(L66-(-B62)-375000)*Assumptions!$B$49,0)</f>
        <v>-1302888.2519985796</v>
      </c>
    </row>
    <row r="68" spans="1:12" x14ac:dyDescent="0.2">
      <c r="A68" s="550" t="s">
        <v>831</v>
      </c>
      <c r="B68" s="578"/>
      <c r="C68" s="578"/>
      <c r="D68" s="578"/>
      <c r="E68" s="578"/>
      <c r="F68" s="578"/>
      <c r="G68" s="579">
        <f>G66+G67</f>
        <v>10212931.534761216</v>
      </c>
      <c r="H68" s="578"/>
      <c r="I68" s="578"/>
      <c r="J68" s="578"/>
      <c r="K68" s="578"/>
      <c r="L68" s="579">
        <f>L66+L67</f>
        <v>20120807.881318972</v>
      </c>
    </row>
    <row r="69" spans="1:12" x14ac:dyDescent="0.2">
      <c r="A69" s="548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</row>
    <row r="70" spans="1:12" x14ac:dyDescent="0.2">
      <c r="A70" s="580" t="s">
        <v>832</v>
      </c>
      <c r="B70" s="581">
        <f>G63+G68</f>
        <v>5587471.3194850925</v>
      </c>
      <c r="C70" s="363"/>
      <c r="D70" s="363"/>
      <c r="E70" s="363"/>
      <c r="F70" s="363"/>
      <c r="G70" s="363"/>
      <c r="H70" s="363"/>
      <c r="I70" s="363"/>
      <c r="J70" s="363"/>
      <c r="K70" s="363"/>
      <c r="L70" s="363"/>
    </row>
    <row r="71" spans="1:12" x14ac:dyDescent="0.2">
      <c r="A71" s="582" t="s">
        <v>833</v>
      </c>
      <c r="B71" s="583">
        <f>L63+L68</f>
        <v>23430272.878775842</v>
      </c>
      <c r="C71" s="584"/>
      <c r="D71" s="584"/>
      <c r="E71" s="584"/>
      <c r="F71" s="584"/>
      <c r="G71" s="584"/>
      <c r="H71" s="584"/>
      <c r="I71" s="584"/>
      <c r="J71" s="584"/>
      <c r="K71" s="584"/>
      <c r="L71" s="584"/>
    </row>
    <row r="73" spans="1:12" x14ac:dyDescent="0.2">
      <c r="A73" s="585" t="s">
        <v>834</v>
      </c>
      <c r="B73" s="585"/>
      <c r="C73" s="585"/>
      <c r="D73" s="585"/>
      <c r="E73" s="585"/>
      <c r="F73" s="585"/>
      <c r="G73" s="585"/>
      <c r="H73" s="585"/>
      <c r="I73" s="585"/>
      <c r="J73" s="585"/>
      <c r="K73" s="585"/>
      <c r="L73" s="585"/>
    </row>
    <row r="74" spans="1:12" x14ac:dyDescent="0.2">
      <c r="A74" s="586"/>
      <c r="B74" s="587" t="s">
        <v>777</v>
      </c>
      <c r="C74" s="587" t="s">
        <v>566</v>
      </c>
      <c r="D74" s="587" t="s">
        <v>567</v>
      </c>
      <c r="E74" s="587" t="s">
        <v>568</v>
      </c>
      <c r="F74" s="587" t="s">
        <v>569</v>
      </c>
      <c r="G74" s="587" t="s">
        <v>570</v>
      </c>
      <c r="H74" s="587" t="s">
        <v>571</v>
      </c>
      <c r="I74" s="587" t="s">
        <v>572</v>
      </c>
      <c r="J74" s="587" t="s">
        <v>573</v>
      </c>
      <c r="K74" s="587" t="s">
        <v>574</v>
      </c>
      <c r="L74" s="587" t="s">
        <v>575</v>
      </c>
    </row>
    <row r="75" spans="1:12" x14ac:dyDescent="0.2">
      <c r="A75" s="548" t="s">
        <v>823</v>
      </c>
      <c r="B75" s="576">
        <f>-$B$43</f>
        <v>-6572160</v>
      </c>
      <c r="C75" s="576">
        <v>0</v>
      </c>
      <c r="D75" s="576">
        <v>0</v>
      </c>
      <c r="E75" s="576">
        <v>0</v>
      </c>
      <c r="F75" s="576">
        <v>0</v>
      </c>
      <c r="G75" s="576">
        <v>0</v>
      </c>
      <c r="H75" s="576">
        <v>0</v>
      </c>
      <c r="I75" s="576">
        <v>0</v>
      </c>
      <c r="J75" s="576">
        <v>0</v>
      </c>
      <c r="K75" s="576">
        <v>0</v>
      </c>
      <c r="L75" s="576">
        <v>0</v>
      </c>
    </row>
    <row r="76" spans="1:12" x14ac:dyDescent="0.2">
      <c r="A76" s="548" t="s">
        <v>33</v>
      </c>
      <c r="B76" s="576">
        <v>0</v>
      </c>
      <c r="C76" s="577">
        <f>Revenue!B13</f>
        <v>7645200</v>
      </c>
      <c r="D76" s="577">
        <f>Revenue!C13</f>
        <v>12526800</v>
      </c>
      <c r="E76" s="577">
        <f>Revenue!D13</f>
        <v>17853538.560000002</v>
      </c>
      <c r="F76" s="577">
        <f>Revenue!E13</f>
        <v>20738217.676800005</v>
      </c>
      <c r="G76" s="577">
        <f>Revenue!F13</f>
        <v>23739471.814656001</v>
      </c>
      <c r="H76" s="577">
        <f>Revenue!G13</f>
        <v>27649897.190522887</v>
      </c>
      <c r="I76" s="577">
        <f>Revenue!H13</f>
        <v>31220228.398566611</v>
      </c>
      <c r="J76" s="577">
        <f>Revenue!I13</f>
        <v>32469037.534509283</v>
      </c>
      <c r="K76" s="577">
        <f>Revenue!J13</f>
        <v>33767799.035889655</v>
      </c>
      <c r="L76" s="577">
        <f>Revenue!K13</f>
        <v>35118510.997325234</v>
      </c>
    </row>
    <row r="77" spans="1:12" x14ac:dyDescent="0.2">
      <c r="A77" s="548" t="s">
        <v>835</v>
      </c>
      <c r="B77" s="576">
        <v>0</v>
      </c>
      <c r="C77" s="576">
        <f>C76*$B$51*MAX(0,MIN(12,1*12-$B$53))/12</f>
        <v>382260</v>
      </c>
      <c r="D77" s="576">
        <f>D76*$B$51*MAX(0,MIN(12,2*12-$B$53))/12</f>
        <v>1252680</v>
      </c>
      <c r="E77" s="576">
        <f>E76*$B$51*MAX(0,MIN(12,3*12-$B$53))/12</f>
        <v>1785353.8560000004</v>
      </c>
      <c r="F77" s="576">
        <f>F76*$B$51*MAX(0,MIN(12,4*12-$B$53))/12</f>
        <v>2073821.7676800005</v>
      </c>
      <c r="G77" s="576">
        <f>G76*$B$51*MAX(0,MIN(12,5*12-$B$53))/12</f>
        <v>2373947.1814656002</v>
      </c>
      <c r="H77" s="576">
        <f>H76*$B$51*MAX(0,MIN(12,6*12-$B$53))/12</f>
        <v>2764989.7190522887</v>
      </c>
      <c r="I77" s="576">
        <f>I76*$B$51*MAX(0,MIN(12,7*12-$B$53))/12</f>
        <v>3122022.8398566614</v>
      </c>
      <c r="J77" s="576">
        <f>J76*$B$51*MAX(0,MIN(12,8*12-$B$53))/12</f>
        <v>3246903.7534509283</v>
      </c>
      <c r="K77" s="576">
        <f>K76*$B$51*MAX(0,MIN(12,9*12-$B$53))/12</f>
        <v>3376779.9035889655</v>
      </c>
      <c r="L77" s="576">
        <f>L76*$B$51*MAX(0,MIN(12,10*12-$B$53))/12</f>
        <v>3511851.0997325238</v>
      </c>
    </row>
    <row r="78" spans="1:12" x14ac:dyDescent="0.2">
      <c r="A78" s="548" t="s">
        <v>836</v>
      </c>
      <c r="B78" s="576">
        <f>$B$43*$B$52</f>
        <v>16430400</v>
      </c>
      <c r="C78" s="576">
        <f t="shared" ref="C78:L78" si="9">MAX(0,B78-B79)</f>
        <v>16430400</v>
      </c>
      <c r="D78" s="576">
        <f t="shared" si="9"/>
        <v>16048140</v>
      </c>
      <c r="E78" s="576">
        <f t="shared" si="9"/>
        <v>14795460</v>
      </c>
      <c r="F78" s="576">
        <f t="shared" si="9"/>
        <v>13010106.143999999</v>
      </c>
      <c r="G78" s="576">
        <f t="shared" si="9"/>
        <v>10936284.376319999</v>
      </c>
      <c r="H78" s="576">
        <f t="shared" si="9"/>
        <v>8562337.1948543992</v>
      </c>
      <c r="I78" s="576">
        <f t="shared" si="9"/>
        <v>5797347.4758021105</v>
      </c>
      <c r="J78" s="576">
        <f t="shared" si="9"/>
        <v>2675324.6359454491</v>
      </c>
      <c r="K78" s="576">
        <f t="shared" si="9"/>
        <v>0</v>
      </c>
      <c r="L78" s="576">
        <f t="shared" si="9"/>
        <v>0</v>
      </c>
    </row>
    <row r="79" spans="1:12" x14ac:dyDescent="0.2">
      <c r="A79" s="548" t="s">
        <v>837</v>
      </c>
      <c r="B79" s="576">
        <v>0</v>
      </c>
      <c r="C79" s="576">
        <f t="shared" ref="C79:L79" si="10">MIN(C77,C78)</f>
        <v>382260</v>
      </c>
      <c r="D79" s="576">
        <f t="shared" si="10"/>
        <v>1252680</v>
      </c>
      <c r="E79" s="576">
        <f t="shared" si="10"/>
        <v>1785353.8560000004</v>
      </c>
      <c r="F79" s="576">
        <f t="shared" si="10"/>
        <v>2073821.7676800005</v>
      </c>
      <c r="G79" s="576">
        <f t="shared" si="10"/>
        <v>2373947.1814656002</v>
      </c>
      <c r="H79" s="576">
        <f t="shared" si="10"/>
        <v>2764989.7190522887</v>
      </c>
      <c r="I79" s="576">
        <f t="shared" si="10"/>
        <v>3122022.8398566614</v>
      </c>
      <c r="J79" s="576">
        <f t="shared" si="10"/>
        <v>2675324.6359454491</v>
      </c>
      <c r="K79" s="576">
        <f t="shared" si="10"/>
        <v>0</v>
      </c>
      <c r="L79" s="576">
        <f t="shared" si="10"/>
        <v>0</v>
      </c>
    </row>
    <row r="80" spans="1:12" x14ac:dyDescent="0.2">
      <c r="A80" s="548"/>
      <c r="B80" s="576"/>
      <c r="C80" s="576"/>
      <c r="D80" s="576"/>
      <c r="E80" s="576"/>
      <c r="F80" s="576"/>
      <c r="G80" s="576"/>
      <c r="H80" s="576"/>
      <c r="I80" s="576"/>
      <c r="J80" s="576"/>
      <c r="K80" s="576"/>
      <c r="L80" s="576"/>
    </row>
    <row r="81" spans="1:12" x14ac:dyDescent="0.2">
      <c r="A81" s="550" t="s">
        <v>826</v>
      </c>
      <c r="B81" s="578">
        <f t="shared" ref="B81:L81" si="11">B75+B79</f>
        <v>-6572160</v>
      </c>
      <c r="C81" s="578">
        <f t="shared" si="11"/>
        <v>382260</v>
      </c>
      <c r="D81" s="578">
        <f t="shared" si="11"/>
        <v>1252680</v>
      </c>
      <c r="E81" s="578">
        <f t="shared" si="11"/>
        <v>1785353.8560000004</v>
      </c>
      <c r="F81" s="578">
        <f t="shared" si="11"/>
        <v>2073821.7676800005</v>
      </c>
      <c r="G81" s="578">
        <f t="shared" si="11"/>
        <v>2373947.1814656002</v>
      </c>
      <c r="H81" s="578">
        <f t="shared" si="11"/>
        <v>2764989.7190522887</v>
      </c>
      <c r="I81" s="578">
        <f t="shared" si="11"/>
        <v>3122022.8398566614</v>
      </c>
      <c r="J81" s="578">
        <f t="shared" si="11"/>
        <v>2675324.6359454491</v>
      </c>
      <c r="K81" s="578">
        <f t="shared" si="11"/>
        <v>0</v>
      </c>
      <c r="L81" s="578">
        <f t="shared" si="11"/>
        <v>0</v>
      </c>
    </row>
    <row r="82" spans="1:12" x14ac:dyDescent="0.2">
      <c r="A82" s="550" t="s">
        <v>827</v>
      </c>
      <c r="B82" s="578">
        <f>B81</f>
        <v>-6572160</v>
      </c>
      <c r="C82" s="578">
        <f t="shared" ref="C82:L82" si="12">B82+C81</f>
        <v>-6189900</v>
      </c>
      <c r="D82" s="578">
        <f t="shared" si="12"/>
        <v>-4937220</v>
      </c>
      <c r="E82" s="578">
        <f t="shared" si="12"/>
        <v>-3151866.1439999994</v>
      </c>
      <c r="F82" s="578">
        <f t="shared" si="12"/>
        <v>-1078044.3763199989</v>
      </c>
      <c r="G82" s="578">
        <f t="shared" si="12"/>
        <v>1295902.8051456013</v>
      </c>
      <c r="H82" s="578">
        <f t="shared" si="12"/>
        <v>4060892.52419789</v>
      </c>
      <c r="I82" s="578">
        <f t="shared" si="12"/>
        <v>7182915.3640545513</v>
      </c>
      <c r="J82" s="578">
        <f t="shared" si="12"/>
        <v>9858240</v>
      </c>
      <c r="K82" s="578">
        <f t="shared" si="12"/>
        <v>9858240</v>
      </c>
      <c r="L82" s="578">
        <f t="shared" si="12"/>
        <v>9858240</v>
      </c>
    </row>
    <row r="83" spans="1:12" x14ac:dyDescent="0.2">
      <c r="A83" s="548"/>
      <c r="B83" s="363"/>
      <c r="C83" s="363"/>
      <c r="D83" s="363"/>
      <c r="E83" s="363"/>
      <c r="F83" s="363"/>
      <c r="G83" s="363"/>
      <c r="H83" s="363"/>
      <c r="I83" s="363"/>
      <c r="J83" s="363"/>
      <c r="K83" s="363"/>
      <c r="L83" s="363"/>
    </row>
    <row r="84" spans="1:12" x14ac:dyDescent="0.2">
      <c r="A84" s="550" t="s">
        <v>838</v>
      </c>
      <c r="B84" s="588">
        <f>L82-B81</f>
        <v>16430400</v>
      </c>
      <c r="C84" s="363"/>
      <c r="D84" s="363"/>
      <c r="E84" s="363"/>
      <c r="F84" s="363"/>
      <c r="G84" s="363"/>
      <c r="H84" s="363"/>
      <c r="I84" s="363"/>
      <c r="J84" s="363"/>
      <c r="K84" s="363"/>
      <c r="L84" s="363"/>
    </row>
    <row r="85" spans="1:12" x14ac:dyDescent="0.2">
      <c r="A85" s="580" t="s">
        <v>839</v>
      </c>
      <c r="B85" s="589">
        <f>IF(SUM(C76:L76)&gt;0,SUM(C79:L79)/SUM(C76:L76),0)</f>
        <v>6.7690388150275421E-2</v>
      </c>
      <c r="C85" s="363"/>
      <c r="D85" s="363"/>
      <c r="E85" s="363"/>
      <c r="F85" s="363"/>
      <c r="G85" s="363"/>
      <c r="H85" s="363"/>
      <c r="I85" s="363"/>
      <c r="J85" s="363"/>
      <c r="K85" s="363"/>
      <c r="L85" s="363"/>
    </row>
    <row r="86" spans="1:12" x14ac:dyDescent="0.2">
      <c r="A86" s="582" t="s">
        <v>840</v>
      </c>
      <c r="B86" s="590">
        <f t="array" ref="B86">IF(COUNTIF(C82:L82,"&gt;0")=0,"N/A",(MATCH(1,INDEX((C82:L82&gt;0)*1,,),0)-1)*12+(-INDEX(B82:K82,MATCH(1,INDEX((C82:L82&gt;0)*1,,),0)))/(INDEX(C82:L82,MATCH(1,INDEX((C82:L82&gt;0)*1,,),0))-INDEX(B82:K82,MATCH(1,INDEX((C82:L82&gt;0)*1,,),0)))*12)</f>
        <v>53.449376724486925</v>
      </c>
      <c r="C86" s="584"/>
      <c r="D86" s="584"/>
      <c r="E86" s="584"/>
      <c r="F86" s="584"/>
      <c r="G86" s="584"/>
      <c r="H86" s="584"/>
      <c r="I86" s="584"/>
      <c r="J86" s="584"/>
      <c r="K86" s="584"/>
      <c r="L86" s="584"/>
    </row>
    <row r="88" spans="1:12" x14ac:dyDescent="0.2">
      <c r="A88" s="552" t="s">
        <v>841</v>
      </c>
      <c r="B88" s="553"/>
      <c r="C88" s="553"/>
      <c r="D88" s="554"/>
    </row>
    <row r="89" spans="1:12" x14ac:dyDescent="0.2">
      <c r="A89" s="593" t="s">
        <v>8</v>
      </c>
      <c r="B89" s="594" t="s">
        <v>842</v>
      </c>
      <c r="C89" s="594" t="s">
        <v>843</v>
      </c>
      <c r="D89" s="595" t="s">
        <v>844</v>
      </c>
    </row>
    <row r="90" spans="1:12" x14ac:dyDescent="0.2">
      <c r="A90" s="555" t="s">
        <v>6</v>
      </c>
      <c r="B90" s="596">
        <f>$B$43</f>
        <v>6572160</v>
      </c>
      <c r="C90" s="596">
        <f>$B$43</f>
        <v>6572160</v>
      </c>
      <c r="D90" s="597"/>
    </row>
    <row r="91" spans="1:12" x14ac:dyDescent="0.2">
      <c r="A91" s="555" t="s">
        <v>845</v>
      </c>
      <c r="B91" s="598">
        <f>$B$46</f>
        <v>0.3</v>
      </c>
      <c r="C91" s="599">
        <v>0</v>
      </c>
      <c r="D91" s="597"/>
    </row>
    <row r="92" spans="1:12" x14ac:dyDescent="0.2">
      <c r="A92" s="555"/>
      <c r="B92" s="600"/>
      <c r="C92" s="600"/>
      <c r="D92" s="597"/>
    </row>
    <row r="93" spans="1:12" x14ac:dyDescent="0.2">
      <c r="A93" s="601" t="s">
        <v>846</v>
      </c>
      <c r="B93" s="602"/>
      <c r="C93" s="602"/>
      <c r="D93" s="603"/>
    </row>
    <row r="94" spans="1:12" x14ac:dyDescent="0.2">
      <c r="A94" s="555" t="s">
        <v>847</v>
      </c>
      <c r="B94" s="598">
        <f>IF(E60&gt;0,E60/$B$43,0)</f>
        <v>6.3227689434756387E-2</v>
      </c>
      <c r="C94" s="598">
        <f>IF(E79&gt;0,E79/$B$43,0)</f>
        <v>0.27165404615834071</v>
      </c>
      <c r="D94" s="597" t="str">
        <f>IF(B94&gt;C94,"Equity",IF(C94&gt;B94,"Rev Share","Tie"))</f>
        <v>Rev Share</v>
      </c>
    </row>
    <row r="95" spans="1:12" x14ac:dyDescent="0.2">
      <c r="A95" s="555" t="s">
        <v>848</v>
      </c>
      <c r="B95" s="604">
        <f>B70</f>
        <v>5587471.3194850925</v>
      </c>
      <c r="C95" s="604">
        <f>G82</f>
        <v>1295902.8051456013</v>
      </c>
      <c r="D95" s="597" t="str">
        <f>IF(B95&gt;C95,"Equity",IF(C95&gt;B95,"Rev Share","Tie"))</f>
        <v>Equity</v>
      </c>
    </row>
    <row r="96" spans="1:12" x14ac:dyDescent="0.2">
      <c r="A96" s="555" t="s">
        <v>849</v>
      </c>
      <c r="B96" s="604">
        <f>B71</f>
        <v>23430272.878775842</v>
      </c>
      <c r="C96" s="604">
        <f>L82</f>
        <v>9858240</v>
      </c>
      <c r="D96" s="597" t="str">
        <f>IF(B96&gt;C96,"Equity",IF(C96&gt;B96,"Rev Share","Tie"))</f>
        <v>Equity</v>
      </c>
    </row>
    <row r="97" spans="1:4" x14ac:dyDescent="0.2">
      <c r="A97" s="555" t="s">
        <v>850</v>
      </c>
      <c r="B97" s="299">
        <f>IF(-B62&gt;0,B95/(-B62),0)</f>
        <v>0.85017274678113319</v>
      </c>
      <c r="C97" s="299">
        <f>IF(-B81&gt;0,C95/(-B81),0)</f>
        <v>0.19718065371896018</v>
      </c>
      <c r="D97" s="597" t="str">
        <f>IF(B97&gt;C97,"Equity",IF(C97&gt;B97,"Rev Share","Tie"))</f>
        <v>Equity</v>
      </c>
    </row>
    <row r="98" spans="1:4" x14ac:dyDescent="0.2">
      <c r="A98" s="555" t="s">
        <v>851</v>
      </c>
      <c r="B98" s="299">
        <f>IF(-B62&gt;0,B96/(-B62),0)</f>
        <v>3.5650794987912411</v>
      </c>
      <c r="C98" s="299">
        <f>IF(-B81&gt;0,C96/(-B81),0)</f>
        <v>1.5</v>
      </c>
      <c r="D98" s="597" t="str">
        <f>IF(B98&gt;C98,"Equity",IF(C98&gt;B98,"Rev Share","Tie"))</f>
        <v>Equity</v>
      </c>
    </row>
    <row r="99" spans="1:4" x14ac:dyDescent="0.2">
      <c r="A99" s="555" t="s">
        <v>852</v>
      </c>
      <c r="B99" s="605">
        <f t="array" ref="B99">IF(COUNTIF(C63:L63,"&gt;0")=0,"&gt;120",(MATCH(1,INDEX((C63:L63&gt;0)*1,,),0)-1)*12+(-INDEX(B63:K63,MATCH(1,INDEX((C63:L63&gt;0)*1,,),0)))/(INDEX(C63:L63,MATCH(1,INDEX((C63:L63&gt;0)*1,,),0))-INDEX(B63:K63,MATCH(1,INDEX((C63:L63&gt;0)*1,,),0)))*12)</f>
        <v>99.114666735791431</v>
      </c>
      <c r="C99" s="605">
        <f>B86</f>
        <v>53.449376724486925</v>
      </c>
      <c r="D99" s="597"/>
    </row>
    <row r="100" spans="1:4" x14ac:dyDescent="0.2">
      <c r="A100" s="555"/>
      <c r="B100" s="600"/>
      <c r="C100" s="600"/>
      <c r="D100" s="597"/>
    </row>
    <row r="101" spans="1:4" x14ac:dyDescent="0.2">
      <c r="A101" s="601" t="s">
        <v>853</v>
      </c>
      <c r="B101" s="602"/>
      <c r="C101" s="602"/>
      <c r="D101" s="603"/>
    </row>
    <row r="102" spans="1:4" x14ac:dyDescent="0.2">
      <c r="A102" s="555" t="s">
        <v>854</v>
      </c>
      <c r="B102" s="596">
        <f>SUM(C60:L60)+G68+L68</f>
        <v>40215364.413537055</v>
      </c>
      <c r="C102" s="596">
        <f>SUM(C79:L79)</f>
        <v>16430400</v>
      </c>
      <c r="D102" s="597" t="str">
        <f>IF(B102&lt;C102,"Equity cheaper",IF(C102&lt;B102,"Rev Share cheaper","Tie"))</f>
        <v>Rev Share cheaper</v>
      </c>
    </row>
    <row r="103" spans="1:4" x14ac:dyDescent="0.2">
      <c r="A103" s="570" t="s">
        <v>855</v>
      </c>
      <c r="B103" s="606" t="s">
        <v>856</v>
      </c>
      <c r="C103" s="606" t="s">
        <v>857</v>
      </c>
      <c r="D103" s="607"/>
    </row>
    <row r="104" spans="1:4" x14ac:dyDescent="0.2">
      <c r="A104" s="664" t="s">
        <v>858</v>
      </c>
      <c r="B104" s="665"/>
      <c r="C104" s="665"/>
      <c r="D104" s="662"/>
    </row>
    <row r="105" spans="1:4" x14ac:dyDescent="0.2">
      <c r="A105" s="591" t="s">
        <v>859</v>
      </c>
      <c r="B105" s="666">
        <f>1-$B$46</f>
        <v>0.7</v>
      </c>
      <c r="C105" s="666">
        <v>1</v>
      </c>
      <c r="D105" s="662"/>
    </row>
    <row r="106" spans="1:4" x14ac:dyDescent="0.2">
      <c r="A106" s="591" t="s">
        <v>860</v>
      </c>
      <c r="B106" s="667">
        <f>SUM(C119:L119)</f>
        <v>8644397.1285301913</v>
      </c>
      <c r="C106" s="667">
        <f>SUM(C128:L128)</f>
        <v>8644397.1285301913</v>
      </c>
      <c r="D106" s="662"/>
    </row>
    <row r="107" spans="1:4" x14ac:dyDescent="0.2">
      <c r="A107" s="591" t="s">
        <v>861</v>
      </c>
      <c r="B107" s="667">
        <f>SUM(C120:L120)</f>
        <v>23057124.994066026</v>
      </c>
      <c r="C107" s="667">
        <f>SUM(C129:L129)</f>
        <v>32938749.991522897</v>
      </c>
      <c r="D107" s="662"/>
    </row>
    <row r="108" spans="1:4" x14ac:dyDescent="0.2">
      <c r="A108" s="591" t="s">
        <v>862</v>
      </c>
      <c r="B108" s="667">
        <v>0</v>
      </c>
      <c r="C108" s="667">
        <f>SUM(C130:L130)</f>
        <v>-16430400</v>
      </c>
      <c r="D108" s="662"/>
    </row>
    <row r="109" spans="1:4" x14ac:dyDescent="0.2">
      <c r="A109" s="591" t="s">
        <v>863</v>
      </c>
      <c r="B109" s="667">
        <f>L123</f>
        <v>45927319.203077607</v>
      </c>
      <c r="C109" s="667">
        <f>L133</f>
        <v>65610456.00439658</v>
      </c>
      <c r="D109" s="662"/>
    </row>
    <row r="110" spans="1:4" x14ac:dyDescent="0.2">
      <c r="A110" s="591"/>
      <c r="B110" s="592"/>
      <c r="C110" s="592"/>
      <c r="D110" s="662"/>
    </row>
    <row r="111" spans="1:4" x14ac:dyDescent="0.2">
      <c r="A111" s="580" t="s">
        <v>864</v>
      </c>
      <c r="B111" s="663">
        <f>B124</f>
        <v>31610992.801998544</v>
      </c>
      <c r="C111" s="663">
        <f>B134</f>
        <v>35464890.236338042</v>
      </c>
      <c r="D111" s="662"/>
    </row>
    <row r="112" spans="1:4" x14ac:dyDescent="0.2">
      <c r="A112" s="582" t="s">
        <v>865</v>
      </c>
      <c r="B112" s="668">
        <f>B125</f>
        <v>77988841.325673819</v>
      </c>
      <c r="C112" s="668">
        <f>B135</f>
        <v>91123203.12444967</v>
      </c>
      <c r="D112" s="662"/>
    </row>
    <row r="113" spans="1:12" ht="16" customHeight="1" thickBot="1" x14ac:dyDescent="0.25">
      <c r="A113" s="669" t="s">
        <v>866</v>
      </c>
      <c r="B113" s="670"/>
      <c r="C113" s="671">
        <f>C112-B112</f>
        <v>13134361.798775852</v>
      </c>
      <c r="D113" s="662"/>
    </row>
    <row r="114" spans="1:12" x14ac:dyDescent="0.2">
      <c r="B114" s="672"/>
      <c r="C114" s="672"/>
      <c r="D114" s="672"/>
      <c r="E114" s="672"/>
    </row>
    <row r="115" spans="1:12" x14ac:dyDescent="0.2">
      <c r="A115" s="609" t="s">
        <v>867</v>
      </c>
      <c r="B115" s="673"/>
      <c r="C115" s="673"/>
      <c r="D115" s="673"/>
      <c r="E115" s="673"/>
      <c r="F115" s="610"/>
      <c r="G115" s="610"/>
      <c r="H115" s="610"/>
      <c r="I115" s="610"/>
      <c r="J115" s="610"/>
      <c r="K115" s="610"/>
      <c r="L115" s="611"/>
    </row>
    <row r="116" spans="1:12" x14ac:dyDescent="0.2">
      <c r="A116" s="612" t="s">
        <v>868</v>
      </c>
      <c r="B116" s="613">
        <v>720000</v>
      </c>
      <c r="C116" s="614"/>
      <c r="D116" s="614"/>
      <c r="E116" s="614"/>
      <c r="F116" s="614"/>
      <c r="G116" s="614"/>
      <c r="H116" s="614"/>
      <c r="I116" s="614"/>
      <c r="J116" s="614"/>
      <c r="K116" s="614"/>
      <c r="L116" s="615"/>
    </row>
    <row r="117" spans="1:12" x14ac:dyDescent="0.2">
      <c r="A117" s="364"/>
      <c r="B117" s="614"/>
      <c r="C117" s="614"/>
      <c r="D117" s="614"/>
      <c r="E117" s="614"/>
      <c r="F117" s="614"/>
      <c r="G117" s="614"/>
      <c r="H117" s="614"/>
      <c r="I117" s="614"/>
      <c r="J117" s="614"/>
      <c r="K117" s="614"/>
      <c r="L117" s="615"/>
    </row>
    <row r="118" spans="1:12" x14ac:dyDescent="0.2">
      <c r="A118" s="616" t="str">
        <f>"EQUITY MODEL — Founder ("&amp;TEXT(1-$B$46,"0%")&amp;")"</f>
        <v>EQUITY MODEL — Founder (70%)</v>
      </c>
      <c r="B118" s="617"/>
      <c r="C118" s="617"/>
      <c r="D118" s="617"/>
      <c r="E118" s="617"/>
      <c r="F118" s="617"/>
      <c r="G118" s="617"/>
      <c r="H118" s="617"/>
      <c r="I118" s="617"/>
      <c r="J118" s="617"/>
      <c r="K118" s="617"/>
      <c r="L118" s="618"/>
    </row>
    <row r="119" spans="1:12" x14ac:dyDescent="0.2">
      <c r="A119" s="612" t="s">
        <v>869</v>
      </c>
      <c r="B119" s="619">
        <f>$B$116/2</f>
        <v>360000</v>
      </c>
      <c r="C119" s="619">
        <f>$B$116</f>
        <v>720000</v>
      </c>
      <c r="D119" s="619">
        <f>C119*(1+Assumptions!$B$47)</f>
        <v>748800</v>
      </c>
      <c r="E119" s="620">
        <f>D119*(1+Assumptions!$B$47)</f>
        <v>778752</v>
      </c>
      <c r="F119" s="620">
        <f>E119*(1+Assumptions!$B$47)</f>
        <v>809902.08000000007</v>
      </c>
      <c r="G119" s="619">
        <f>F119*(1+Assumptions!$B$47)</f>
        <v>842298.16320000007</v>
      </c>
      <c r="H119" s="619">
        <f>G119*(1+Assumptions!$B$47)</f>
        <v>875990.08972800011</v>
      </c>
      <c r="I119" s="619">
        <f>H119*(1+Assumptions!$B$47)</f>
        <v>911029.6933171202</v>
      </c>
      <c r="J119" s="619">
        <f>I119*(1+Assumptions!$B$47)</f>
        <v>947470.88104980509</v>
      </c>
      <c r="K119" s="619">
        <f>J119*(1+Assumptions!$B$47)</f>
        <v>985369.71629179735</v>
      </c>
      <c r="L119" s="621">
        <f>K119*(1+Assumptions!$B$47)</f>
        <v>1024784.5049434693</v>
      </c>
    </row>
    <row r="120" spans="1:12" x14ac:dyDescent="0.2">
      <c r="A120" s="612" t="str">
        <f>"  Founder Dividends ("&amp;TEXT(1-$B$46,"0%")&amp;")"</f>
        <v xml:space="preserve">  Founder Dividends (70%)</v>
      </c>
      <c r="B120" s="619">
        <v>0</v>
      </c>
      <c r="C120" s="619">
        <f t="shared" ref="C120:L120" si="13">C59*(1-$B$46)</f>
        <v>0</v>
      </c>
      <c r="D120" s="620">
        <f t="shared" si="13"/>
        <v>275817.36528071843</v>
      </c>
      <c r="E120" s="620">
        <f t="shared" si="13"/>
        <v>969599.14658956649</v>
      </c>
      <c r="F120" s="620">
        <f t="shared" si="13"/>
        <v>1384180.7877078082</v>
      </c>
      <c r="G120" s="620">
        <f t="shared" si="13"/>
        <v>1912702.1981109504</v>
      </c>
      <c r="H120" s="620">
        <f t="shared" si="13"/>
        <v>2544694.3731197994</v>
      </c>
      <c r="I120" s="620">
        <f t="shared" si="13"/>
        <v>3180574.8288157498</v>
      </c>
      <c r="J120" s="620">
        <f t="shared" si="13"/>
        <v>3961790.2431371366</v>
      </c>
      <c r="K120" s="620">
        <f t="shared" si="13"/>
        <v>4259901.2389965365</v>
      </c>
      <c r="L120" s="622">
        <f t="shared" si="13"/>
        <v>4567864.8123077611</v>
      </c>
    </row>
    <row r="121" spans="1:12" x14ac:dyDescent="0.2">
      <c r="A121" s="623" t="s">
        <v>870</v>
      </c>
      <c r="B121" s="624">
        <f t="shared" ref="B121:L121" si="14">B119+B120</f>
        <v>360000</v>
      </c>
      <c r="C121" s="624">
        <f t="shared" si="14"/>
        <v>720000</v>
      </c>
      <c r="D121" s="625">
        <f t="shared" si="14"/>
        <v>1024617.3652807184</v>
      </c>
      <c r="E121" s="625">
        <f t="shared" si="14"/>
        <v>1748351.1465895665</v>
      </c>
      <c r="F121" s="625">
        <f t="shared" si="14"/>
        <v>2194082.8677078085</v>
      </c>
      <c r="G121" s="625">
        <f t="shared" si="14"/>
        <v>2755000.3613109505</v>
      </c>
      <c r="H121" s="625">
        <f t="shared" si="14"/>
        <v>3420684.4628477995</v>
      </c>
      <c r="I121" s="625">
        <f t="shared" si="14"/>
        <v>4091604.5221328698</v>
      </c>
      <c r="J121" s="625">
        <f t="shared" si="14"/>
        <v>4909261.1241869414</v>
      </c>
      <c r="K121" s="625">
        <f t="shared" si="14"/>
        <v>5245270.9552883338</v>
      </c>
      <c r="L121" s="626">
        <f t="shared" si="14"/>
        <v>5592649.3172512306</v>
      </c>
    </row>
    <row r="122" spans="1:12" x14ac:dyDescent="0.2">
      <c r="A122" s="612" t="s">
        <v>871</v>
      </c>
      <c r="B122" s="619">
        <f>B121</f>
        <v>360000</v>
      </c>
      <c r="C122" s="619">
        <f t="shared" ref="C122:L122" si="15">B122+C121</f>
        <v>1080000</v>
      </c>
      <c r="D122" s="620">
        <f t="shared" si="15"/>
        <v>2104617.3652807185</v>
      </c>
      <c r="E122" s="620">
        <f t="shared" si="15"/>
        <v>3852968.511870285</v>
      </c>
      <c r="F122" s="620">
        <f t="shared" si="15"/>
        <v>6047051.3795780931</v>
      </c>
      <c r="G122" s="620">
        <f t="shared" si="15"/>
        <v>8802051.7408890426</v>
      </c>
      <c r="H122" s="620">
        <f t="shared" si="15"/>
        <v>12222736.203736842</v>
      </c>
      <c r="I122" s="620">
        <f t="shared" si="15"/>
        <v>16314340.725869711</v>
      </c>
      <c r="J122" s="620">
        <f t="shared" si="15"/>
        <v>21223601.850056652</v>
      </c>
      <c r="K122" s="620">
        <f t="shared" si="15"/>
        <v>26468872.805344984</v>
      </c>
      <c r="L122" s="622">
        <f t="shared" si="15"/>
        <v>32061522.122596215</v>
      </c>
    </row>
    <row r="123" spans="1:12" x14ac:dyDescent="0.2">
      <c r="A123" s="627" t="str">
        <f>"  Exit Equity ("&amp;TEXT(1-$B$46,"0%")&amp;")"</f>
        <v xml:space="preserve">  Exit Equity (70%)</v>
      </c>
      <c r="B123" s="614"/>
      <c r="C123" s="614"/>
      <c r="D123" s="614"/>
      <c r="E123" s="614"/>
      <c r="F123" s="614"/>
      <c r="G123" s="628">
        <f>'Exit Valuation'!E21*(1-$B$46)</f>
        <v>22808941.061109502</v>
      </c>
      <c r="H123" s="614"/>
      <c r="I123" s="614"/>
      <c r="J123" s="614"/>
      <c r="K123" s="614"/>
      <c r="L123" s="629">
        <f>'Exit Valuation'!E23*(1-$B$46)</f>
        <v>45927319.203077607</v>
      </c>
    </row>
    <row r="124" spans="1:12" x14ac:dyDescent="0.2">
      <c r="A124" s="630" t="s">
        <v>872</v>
      </c>
      <c r="B124" s="631">
        <f>G122+G123</f>
        <v>31610992.801998544</v>
      </c>
      <c r="C124" s="614"/>
      <c r="D124" s="614"/>
      <c r="E124" s="614"/>
      <c r="F124" s="614"/>
      <c r="G124" s="614"/>
      <c r="H124" s="614"/>
      <c r="I124" s="614"/>
      <c r="J124" s="614"/>
      <c r="K124" s="614"/>
      <c r="L124" s="615"/>
    </row>
    <row r="125" spans="1:12" x14ac:dyDescent="0.2">
      <c r="A125" s="630" t="s">
        <v>873</v>
      </c>
      <c r="B125" s="631">
        <f>L122+L123</f>
        <v>77988841.325673819</v>
      </c>
      <c r="C125" s="614"/>
      <c r="D125" s="614"/>
      <c r="E125" s="614"/>
      <c r="F125" s="614"/>
      <c r="G125" s="614"/>
      <c r="H125" s="614"/>
      <c r="I125" s="614"/>
      <c r="J125" s="614"/>
      <c r="K125" s="614"/>
      <c r="L125" s="615"/>
    </row>
    <row r="126" spans="1:12" x14ac:dyDescent="0.2">
      <c r="A126" s="364"/>
      <c r="B126" s="614"/>
      <c r="C126" s="614"/>
      <c r="D126" s="614"/>
      <c r="E126" s="614"/>
      <c r="F126" s="614"/>
      <c r="G126" s="614"/>
      <c r="H126" s="614"/>
      <c r="I126" s="614"/>
      <c r="J126" s="614"/>
      <c r="K126" s="614"/>
      <c r="L126" s="615"/>
    </row>
    <row r="127" spans="1:12" x14ac:dyDescent="0.2">
      <c r="A127" s="616" t="str">
        <f>"REVENUE SHARE — Founder (100%)"</f>
        <v>REVENUE SHARE — Founder (100%)</v>
      </c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8"/>
    </row>
    <row r="128" spans="1:12" x14ac:dyDescent="0.2">
      <c r="A128" s="612" t="s">
        <v>869</v>
      </c>
      <c r="B128" s="604">
        <f>$B$116/2</f>
        <v>360000</v>
      </c>
      <c r="C128" s="604">
        <f>$B$116</f>
        <v>720000</v>
      </c>
      <c r="D128" s="620">
        <f>C128*(1+Assumptions!$B$47)</f>
        <v>748800</v>
      </c>
      <c r="E128" s="620">
        <f>D128*(1+Assumptions!$B$47)</f>
        <v>778752</v>
      </c>
      <c r="F128" s="620">
        <f>E128*(1+Assumptions!$B$47)</f>
        <v>809902.08000000007</v>
      </c>
      <c r="G128" s="620">
        <f>F128*(1+Assumptions!$B$47)</f>
        <v>842298.16320000007</v>
      </c>
      <c r="H128" s="620">
        <f>G128*(1+Assumptions!$B$47)</f>
        <v>875990.08972800011</v>
      </c>
      <c r="I128" s="620">
        <f>H128*(1+Assumptions!$B$47)</f>
        <v>911029.6933171202</v>
      </c>
      <c r="J128" s="620">
        <f>I128*(1+Assumptions!$B$47)</f>
        <v>947470.88104980509</v>
      </c>
      <c r="K128" s="620">
        <f>J128*(1+Assumptions!$B$47)</f>
        <v>985369.71629179735</v>
      </c>
      <c r="L128" s="622">
        <f>K128*(1+Assumptions!$B$47)</f>
        <v>1024784.5049434693</v>
      </c>
    </row>
    <row r="129" spans="1:12" x14ac:dyDescent="0.2">
      <c r="A129" s="612" t="s">
        <v>874</v>
      </c>
      <c r="B129" s="604">
        <v>0</v>
      </c>
      <c r="C129" s="604">
        <f>MAX(0,'P&amp;L'!B28)*$B$47</f>
        <v>0</v>
      </c>
      <c r="D129" s="620">
        <f>MAX(0,'P&amp;L'!C28)*$B$47</f>
        <v>394024.80754388351</v>
      </c>
      <c r="E129" s="620">
        <f>MAX(0,'P&amp;L'!D28)*$B$47</f>
        <v>1385141.6379850951</v>
      </c>
      <c r="F129" s="620">
        <f>MAX(0,'P&amp;L'!E28)*$B$47</f>
        <v>1977401.1252968688</v>
      </c>
      <c r="G129" s="620">
        <f>MAX(0,'P&amp;L'!F28)*$B$47</f>
        <v>2732431.7115870724</v>
      </c>
      <c r="H129" s="620">
        <f>MAX(0,'P&amp;L'!G28)*$B$47</f>
        <v>3635277.6758854277</v>
      </c>
      <c r="I129" s="620">
        <f>MAX(0,'P&amp;L'!H28)*$B$47</f>
        <v>4543678.3268796429</v>
      </c>
      <c r="J129" s="620">
        <f>MAX(0,'P&amp;L'!I28)*$B$47</f>
        <v>5659700.3473387668</v>
      </c>
      <c r="K129" s="620">
        <f>MAX(0,'P&amp;L'!J28)*$B$47</f>
        <v>6085573.1985664815</v>
      </c>
      <c r="L129" s="622">
        <f>MAX(0,'P&amp;L'!K28)*$B$47</f>
        <v>6525521.1604396589</v>
      </c>
    </row>
    <row r="130" spans="1:12" x14ac:dyDescent="0.2">
      <c r="A130" s="632" t="s">
        <v>875</v>
      </c>
      <c r="B130" s="604">
        <v>0</v>
      </c>
      <c r="C130" s="633">
        <f t="shared" ref="C130:L130" si="16">-C79</f>
        <v>-382260</v>
      </c>
      <c r="D130" s="634">
        <f t="shared" si="16"/>
        <v>-1252680</v>
      </c>
      <c r="E130" s="634">
        <f t="shared" si="16"/>
        <v>-1785353.8560000004</v>
      </c>
      <c r="F130" s="634">
        <f t="shared" si="16"/>
        <v>-2073821.7676800005</v>
      </c>
      <c r="G130" s="634">
        <f t="shared" si="16"/>
        <v>-2373947.1814656002</v>
      </c>
      <c r="H130" s="634">
        <f t="shared" si="16"/>
        <v>-2764989.7190522887</v>
      </c>
      <c r="I130" s="634">
        <f t="shared" si="16"/>
        <v>-3122022.8398566614</v>
      </c>
      <c r="J130" s="634">
        <f t="shared" si="16"/>
        <v>-2675324.6359454491</v>
      </c>
      <c r="K130" s="634">
        <f t="shared" si="16"/>
        <v>0</v>
      </c>
      <c r="L130" s="635">
        <f t="shared" si="16"/>
        <v>0</v>
      </c>
    </row>
    <row r="131" spans="1:12" x14ac:dyDescent="0.2">
      <c r="A131" s="623" t="s">
        <v>870</v>
      </c>
      <c r="B131" s="636">
        <f t="shared" ref="B131:L131" si="17">B128+B129+B130</f>
        <v>360000</v>
      </c>
      <c r="C131" s="636">
        <f t="shared" si="17"/>
        <v>337740</v>
      </c>
      <c r="D131" s="625">
        <f t="shared" si="17"/>
        <v>-109855.19245611643</v>
      </c>
      <c r="E131" s="625">
        <f t="shared" si="17"/>
        <v>378539.781985095</v>
      </c>
      <c r="F131" s="625">
        <f t="shared" si="17"/>
        <v>713481.43761686841</v>
      </c>
      <c r="G131" s="625">
        <f t="shared" si="17"/>
        <v>1200782.6933214725</v>
      </c>
      <c r="H131" s="625">
        <f t="shared" si="17"/>
        <v>1746278.0465611387</v>
      </c>
      <c r="I131" s="625">
        <f t="shared" si="17"/>
        <v>2332685.1803401015</v>
      </c>
      <c r="J131" s="625">
        <f t="shared" si="17"/>
        <v>3931846.592443123</v>
      </c>
      <c r="K131" s="625">
        <f t="shared" si="17"/>
        <v>7070942.9148582788</v>
      </c>
      <c r="L131" s="626">
        <f t="shared" si="17"/>
        <v>7550305.6653831284</v>
      </c>
    </row>
    <row r="132" spans="1:12" x14ac:dyDescent="0.2">
      <c r="A132" s="612" t="s">
        <v>871</v>
      </c>
      <c r="B132" s="604">
        <f>B131</f>
        <v>360000</v>
      </c>
      <c r="C132" s="604">
        <f t="shared" ref="C132:L132" si="18">B132+C131</f>
        <v>697740</v>
      </c>
      <c r="D132" s="620">
        <f t="shared" si="18"/>
        <v>587884.80754388357</v>
      </c>
      <c r="E132" s="620">
        <f t="shared" si="18"/>
        <v>966424.58952897857</v>
      </c>
      <c r="F132" s="620">
        <f t="shared" si="18"/>
        <v>1679906.027145847</v>
      </c>
      <c r="G132" s="620">
        <f t="shared" si="18"/>
        <v>2880688.7204673197</v>
      </c>
      <c r="H132" s="620">
        <f t="shared" si="18"/>
        <v>4626966.7670284584</v>
      </c>
      <c r="I132" s="620">
        <f t="shared" si="18"/>
        <v>6959651.9473685604</v>
      </c>
      <c r="J132" s="620">
        <f t="shared" si="18"/>
        <v>10891498.539811684</v>
      </c>
      <c r="K132" s="620">
        <f t="shared" si="18"/>
        <v>17962441.454669964</v>
      </c>
      <c r="L132" s="622">
        <f t="shared" si="18"/>
        <v>25512747.12005309</v>
      </c>
    </row>
    <row r="133" spans="1:12" x14ac:dyDescent="0.2">
      <c r="A133" s="627" t="s">
        <v>876</v>
      </c>
      <c r="B133" s="614"/>
      <c r="C133" s="614"/>
      <c r="D133" s="614"/>
      <c r="E133" s="614"/>
      <c r="F133" s="614"/>
      <c r="G133" s="628">
        <f>'Exit Valuation'!E21</f>
        <v>32584201.51587072</v>
      </c>
      <c r="H133" s="614"/>
      <c r="I133" s="614"/>
      <c r="J133" s="614"/>
      <c r="K133" s="614"/>
      <c r="L133" s="629">
        <f>'Exit Valuation'!E23</f>
        <v>65610456.00439658</v>
      </c>
    </row>
    <row r="134" spans="1:12" x14ac:dyDescent="0.2">
      <c r="A134" s="630" t="s">
        <v>872</v>
      </c>
      <c r="B134" s="631">
        <f>G132+G133</f>
        <v>35464890.236338042</v>
      </c>
      <c r="C134" s="614"/>
      <c r="D134" s="614"/>
      <c r="E134" s="614"/>
      <c r="F134" s="614"/>
      <c r="G134" s="628"/>
      <c r="H134" s="614"/>
      <c r="I134" s="614"/>
      <c r="J134" s="614"/>
      <c r="K134" s="614"/>
      <c r="L134" s="629"/>
    </row>
    <row r="135" spans="1:12" x14ac:dyDescent="0.2">
      <c r="A135" s="630" t="s">
        <v>873</v>
      </c>
      <c r="B135" s="631">
        <f>L132+L133</f>
        <v>91123203.12444967</v>
      </c>
      <c r="C135" s="614"/>
      <c r="D135" s="614"/>
      <c r="E135" s="614"/>
      <c r="F135" s="614"/>
      <c r="G135" s="614"/>
      <c r="H135" s="614"/>
      <c r="I135" s="614"/>
      <c r="J135" s="614"/>
      <c r="K135" s="614"/>
      <c r="L135" s="615"/>
    </row>
    <row r="136" spans="1:12" x14ac:dyDescent="0.2">
      <c r="A136" s="364"/>
      <c r="B136" s="614"/>
      <c r="C136" s="614"/>
      <c r="D136" s="614"/>
      <c r="E136" s="614"/>
      <c r="F136" s="614"/>
      <c r="G136" s="614"/>
      <c r="H136" s="614"/>
      <c r="I136" s="614"/>
      <c r="J136" s="614"/>
      <c r="K136" s="614"/>
      <c r="L136" s="615"/>
    </row>
    <row r="138" spans="1:12" x14ac:dyDescent="0.2">
      <c r="A138" s="547" t="s">
        <v>877</v>
      </c>
      <c r="B138" s="608"/>
      <c r="C138" s="608"/>
      <c r="D138" s="608"/>
      <c r="E138" s="608"/>
      <c r="F138" s="608"/>
      <c r="G138" s="608"/>
      <c r="H138" s="608"/>
    </row>
    <row r="140" spans="1:12" x14ac:dyDescent="0.2">
      <c r="A140" s="637" t="s">
        <v>878</v>
      </c>
      <c r="B140" s="638"/>
      <c r="C140" s="638"/>
      <c r="D140" s="638"/>
      <c r="E140" s="638"/>
      <c r="F140" s="638"/>
      <c r="G140" s="638"/>
      <c r="H140" s="638"/>
    </row>
    <row r="141" spans="1:12" x14ac:dyDescent="0.2">
      <c r="A141" s="363" t="s">
        <v>879</v>
      </c>
      <c r="B141" s="576">
        <f>G63</f>
        <v>-4625460.215276124</v>
      </c>
      <c r="C141" s="363"/>
      <c r="D141" s="363"/>
      <c r="E141" s="363"/>
      <c r="F141" s="363"/>
      <c r="G141" s="363"/>
      <c r="H141" s="363"/>
    </row>
    <row r="142" spans="1:12" x14ac:dyDescent="0.2">
      <c r="A142" s="363" t="s">
        <v>880</v>
      </c>
      <c r="B142" s="576">
        <f>L63</f>
        <v>3309464.9974568691</v>
      </c>
      <c r="C142" s="363"/>
      <c r="D142" s="363"/>
      <c r="E142" s="363"/>
      <c r="F142" s="363"/>
      <c r="G142" s="363"/>
      <c r="H142" s="363"/>
    </row>
    <row r="143" spans="1:12" x14ac:dyDescent="0.2">
      <c r="A143" s="363" t="s">
        <v>881</v>
      </c>
      <c r="B143" s="639">
        <f>IF(-B62&gt;0,(G63+(-B62))/(-B62),0)</f>
        <v>0.29620395497429702</v>
      </c>
      <c r="C143" s="363"/>
      <c r="D143" s="363"/>
      <c r="E143" s="363"/>
      <c r="F143" s="363"/>
      <c r="G143" s="363"/>
      <c r="H143" s="363"/>
    </row>
    <row r="144" spans="1:12" x14ac:dyDescent="0.2">
      <c r="A144" s="363" t="s">
        <v>882</v>
      </c>
      <c r="B144" s="639">
        <f>IF(-B62&gt;0,(L63+(-B62))/(-B62),0)</f>
        <v>1.5035581905274475</v>
      </c>
      <c r="C144" s="363"/>
      <c r="D144" s="363"/>
      <c r="E144" s="363"/>
      <c r="F144" s="363"/>
      <c r="G144" s="363"/>
      <c r="H144" s="363"/>
    </row>
    <row r="145" spans="1:8" x14ac:dyDescent="0.2">
      <c r="A145" s="363" t="s">
        <v>883</v>
      </c>
      <c r="B145" s="640">
        <f>B99</f>
        <v>99.114666735791431</v>
      </c>
      <c r="C145" s="363"/>
      <c r="D145" s="363"/>
      <c r="E145" s="363"/>
      <c r="F145" s="363"/>
      <c r="G145" s="363"/>
      <c r="H145" s="363"/>
    </row>
    <row r="146" spans="1:8" x14ac:dyDescent="0.2">
      <c r="A146" s="641" t="s">
        <v>884</v>
      </c>
      <c r="B146" s="642">
        <f>IF('P&amp;L'!F20&gt;0,(-B62-G63)/($B$46*'P&amp;L'!F20),"N/A")</f>
        <v>8.5024338009169327</v>
      </c>
      <c r="C146" s="584"/>
      <c r="D146" s="584"/>
      <c r="E146" s="584"/>
      <c r="F146" s="584"/>
      <c r="G146" s="584"/>
      <c r="H146" s="584"/>
    </row>
    <row r="148" spans="1:8" x14ac:dyDescent="0.2">
      <c r="A148" s="644" t="s">
        <v>885</v>
      </c>
      <c r="B148" s="645"/>
      <c r="C148" s="645"/>
      <c r="D148" s="645"/>
      <c r="E148" s="645"/>
      <c r="F148" s="645"/>
      <c r="G148" s="645"/>
      <c r="H148" s="646"/>
    </row>
    <row r="149" spans="1:8" x14ac:dyDescent="0.2">
      <c r="A149" s="647" t="s">
        <v>886</v>
      </c>
      <c r="B149" s="648" t="s">
        <v>887</v>
      </c>
      <c r="C149" s="648" t="s">
        <v>888</v>
      </c>
      <c r="D149" s="648" t="s">
        <v>889</v>
      </c>
      <c r="E149" s="649" t="s">
        <v>890</v>
      </c>
      <c r="F149" s="648" t="s">
        <v>891</v>
      </c>
      <c r="G149" s="648" t="s">
        <v>892</v>
      </c>
      <c r="H149" s="650" t="s">
        <v>893</v>
      </c>
    </row>
    <row r="150" spans="1:8" x14ac:dyDescent="0.2">
      <c r="A150" s="651" t="s">
        <v>894</v>
      </c>
      <c r="B150" s="652">
        <f>IF(-B62&gt;0,(G63+(-B62))/(-B62),0)</f>
        <v>0.29620395497429702</v>
      </c>
      <c r="C150" s="652">
        <f>IF(-B62&gt;0,(G63+$B$46*'P&amp;L'!F20*4*(1-IF($B$46*'P&amp;L'!F20*4&gt;375000+(-B62),Assumptions!$B$49,0)))/(-B62),0)</f>
        <v>9.7760819711995836E-2</v>
      </c>
      <c r="D150" s="652">
        <f>IF(-B62&gt;0,(G63+$B$46*'P&amp;L'!F20*6*(1-IF($B$46*'P&amp;L'!F20*6&gt;375000+(-B62),Assumptions!$B$49,0)))/(-B62),0)</f>
        <v>0.39032907534125594</v>
      </c>
      <c r="E150" s="653">
        <f>IF(-B62&gt;0,(G63+$B$46*'P&amp;L'!F20*8*(1-IF($B$46*'P&amp;L'!F20*8&gt;375000+(-B62),Assumptions!$B$49,0)))/(-B62),0)</f>
        <v>0.75503744879690882</v>
      </c>
      <c r="F150" s="652">
        <f>IF(-B62&gt;0,(G63+$B$46*'P&amp;L'!F20*10*(1-IF($B$46*'P&amp;L'!F20*10&gt;375000+(-B62),Assumptions!$B$49,0)))/(-B62),0)</f>
        <v>1.119745822252562</v>
      </c>
      <c r="G150" s="652">
        <f>IF(-B62&gt;0,(G63+$B$46*'P&amp;L'!F20*12*(1-IF($B$46*'P&amp;L'!F20*12&gt;375000+(-B62),Assumptions!$B$49,0)))/(-B62),0)</f>
        <v>1.4844541957082149</v>
      </c>
      <c r="H150" s="654">
        <f>IF(-B62&gt;0,(G63+$B$46*'P&amp;L'!F20*15*(1-IF($B$46*'P&amp;L'!F20*15&gt;375000+(-B62),Assumptions!$B$49,0)))/(-B62),0)</f>
        <v>2.031516755891694</v>
      </c>
    </row>
    <row r="151" spans="1:8" x14ac:dyDescent="0.2">
      <c r="A151" s="651" t="s">
        <v>895</v>
      </c>
      <c r="B151" s="652">
        <f>IF(-B62&gt;0,(I63+(-B62))/(-B62),0)</f>
        <v>0.66954952185482364</v>
      </c>
      <c r="C151" s="652">
        <f>IF(-B62&gt;0,(I63+$B$46*'P&amp;L'!H20*4*(1-IF($B$46*'P&amp;L'!H20*4&gt;375000+(-B62),Assumptions!$B$49,0)))/(-B62),0)</f>
        <v>0.81235698398591338</v>
      </c>
      <c r="D151" s="652">
        <f>IF(-B62&gt;0,(I63+$B$46*'P&amp;L'!H20*6*(1-IF($B$46*'P&amp;L'!H20*6&gt;375000+(-B62),Assumptions!$B$49,0)))/(-B62),0)</f>
        <v>1.3837607150514581</v>
      </c>
      <c r="E151" s="653">
        <f>IF(-B62&gt;0,(I63+$B$46*'P&amp;L'!H20*8*(1-IF($B$46*'P&amp;L'!H20*8&gt;375000+(-B62),Assumptions!$B$49,0)))/(-B62),0)</f>
        <v>1.9551644461170035</v>
      </c>
      <c r="F151" s="652">
        <f>IF(-B62&gt;0,(I63+$B$46*'P&amp;L'!H20*10*(1-IF($B$46*'P&amp;L'!H20*10&gt;375000+(-B62),Assumptions!$B$49,0)))/(-B62),0)</f>
        <v>2.5265681771825483</v>
      </c>
      <c r="G151" s="652">
        <f>IF(-B62&gt;0,(I63+$B$46*'P&amp;L'!H20*12*(1-IF($B$46*'P&amp;L'!H20*12&gt;375000+(-B62),Assumptions!$B$49,0)))/(-B62),0)</f>
        <v>3.097971908248093</v>
      </c>
      <c r="H151" s="654">
        <f>IF(-B62&gt;0,(I63+$B$46*'P&amp;L'!H20*15*(1-IF($B$46*'P&amp;L'!H20*15&gt;375000+(-B62),Assumptions!$B$49,0)))/(-B62),0)</f>
        <v>3.9550775048464106</v>
      </c>
    </row>
    <row r="152" spans="1:8" x14ac:dyDescent="0.2">
      <c r="A152" s="651" t="s">
        <v>896</v>
      </c>
      <c r="B152" s="652">
        <f>IF(-B62&gt;0,(L63+(-B62))/(-B62),0)</f>
        <v>1.5035581905274475</v>
      </c>
      <c r="C152" s="652">
        <f>IF(-B62&gt;0,(L63+$B$46*'P&amp;L'!K20*4*(1-IF($B$46*'P&amp;L'!K20*4&gt;375000+(-B62),Assumptions!$B$49,0)))/(-B62),0)</f>
        <v>1.9867511956672321</v>
      </c>
      <c r="D152" s="652">
        <f>IF(-B62&gt;0,(L63+$B$46*'P&amp;L'!K20*6*(1-IF($B$46*'P&amp;L'!K20*6&gt;375000+(-B62),Assumptions!$B$49,0)))/(-B62),0)</f>
        <v>2.7283476982371244</v>
      </c>
      <c r="E152" s="653">
        <f>IF(-B62&gt;0,(L63+$B$46*'P&amp;L'!K20*8*(1-IF($B$46*'P&amp;L'!K20*8&gt;375000+(-B62),Assumptions!$B$49,0)))/(-B62),0)</f>
        <v>3.4699442008070167</v>
      </c>
      <c r="F152" s="652">
        <f>IF(-B62&gt;0,(L63+$B$46*'P&amp;L'!K20*10*(1-IF($B$46*'P&amp;L'!K20*10&gt;375000+(-B62),Assumptions!$B$49,0)))/(-B62),0)</f>
        <v>4.211540703376909</v>
      </c>
      <c r="G152" s="652">
        <f>IF(-B62&gt;0,(L63+$B$46*'P&amp;L'!K20*12*(1-IF($B$46*'P&amp;L'!K20*12&gt;375000+(-B62),Assumptions!$B$49,0)))/(-B62),0)</f>
        <v>4.9531372059468008</v>
      </c>
      <c r="H152" s="654">
        <f>IF(-B62&gt;0,(L63+$B$46*'P&amp;L'!K20*15*(1-IF($B$46*'P&amp;L'!K20*15&gt;375000+(-B62),Assumptions!$B$49,0)))/(-B62),0)</f>
        <v>6.0655319598016399</v>
      </c>
    </row>
    <row r="154" spans="1:8" x14ac:dyDescent="0.2">
      <c r="A154" s="637" t="s">
        <v>897</v>
      </c>
      <c r="B154" s="638"/>
      <c r="C154" s="638"/>
      <c r="D154" s="638"/>
      <c r="E154" s="638"/>
      <c r="F154" s="638"/>
      <c r="G154" s="638"/>
      <c r="H154" s="638"/>
    </row>
    <row r="155" spans="1:8" x14ac:dyDescent="0.2">
      <c r="A155" s="643" t="s">
        <v>884</v>
      </c>
      <c r="B155" s="363"/>
      <c r="C155" s="549" t="s">
        <v>898</v>
      </c>
      <c r="D155" s="363"/>
      <c r="E155" s="655">
        <f>B146</f>
        <v>8.5024338009169327</v>
      </c>
      <c r="F155" s="363"/>
      <c r="G155" s="363"/>
      <c r="H155" s="363"/>
    </row>
    <row r="156" spans="1:8" x14ac:dyDescent="0.2">
      <c r="A156" s="643" t="s">
        <v>899</v>
      </c>
      <c r="B156" s="363"/>
      <c r="C156" s="549" t="s">
        <v>900</v>
      </c>
      <c r="D156" s="363"/>
      <c r="E156" s="656" t="str">
        <f>IF(L63&gt;=0,"Not needed",IF('P&amp;L'!K20&gt;0,(-(-B62)-L63)/($B$46*'P&amp;L'!K20*(1-Assumptions!$B$49)),"N/A"))</f>
        <v>Not needed</v>
      </c>
      <c r="F156" s="363"/>
      <c r="G156" s="363"/>
      <c r="H156" s="363"/>
    </row>
    <row r="157" spans="1:8" x14ac:dyDescent="0.2">
      <c r="A157" s="643" t="s">
        <v>901</v>
      </c>
      <c r="B157" s="363"/>
      <c r="C157" s="549" t="s">
        <v>902</v>
      </c>
      <c r="D157" s="363"/>
      <c r="E157" s="657">
        <f>B99</f>
        <v>99.114666735791431</v>
      </c>
      <c r="F157" s="658" t="s">
        <v>903</v>
      </c>
      <c r="G157" s="363"/>
      <c r="H157" s="363"/>
    </row>
    <row r="158" spans="1:8" x14ac:dyDescent="0.2">
      <c r="A158" s="659" t="s">
        <v>904</v>
      </c>
      <c r="B158" s="584"/>
      <c r="C158" s="551" t="s">
        <v>905</v>
      </c>
      <c r="D158" s="584"/>
      <c r="E158" s="660">
        <f>C98</f>
        <v>1.5</v>
      </c>
      <c r="F158" s="661" t="s">
        <v>906</v>
      </c>
      <c r="G158" s="584"/>
      <c r="H158" s="584"/>
    </row>
  </sheetData>
  <mergeCells count="1">
    <mergeCell ref="A1:L1"/>
  </mergeCells>
  <pageMargins left="0.75" right="0.75" top="1" bottom="1" header="0.511811023622047" footer="0.511811023622047"/>
  <pageSetup paperSize="9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33C0B"/>
  </sheetPr>
  <dimension ref="A1:H59"/>
  <sheetViews>
    <sheetView zoomScale="144" zoomScaleNormal="100" workbookViewId="0">
      <selection activeCell="D14" sqref="D14"/>
    </sheetView>
  </sheetViews>
  <sheetFormatPr baseColWidth="10" defaultColWidth="8.6640625" defaultRowHeight="15" x14ac:dyDescent="0.2"/>
  <cols>
    <col min="1" max="1" width="32.1640625" bestFit="1" customWidth="1"/>
    <col min="2" max="8" width="16" customWidth="1"/>
  </cols>
  <sheetData>
    <row r="1" spans="1:8" ht="27.75" customHeight="1" x14ac:dyDescent="0.2">
      <c r="A1" s="677" t="s">
        <v>907</v>
      </c>
      <c r="B1" s="678"/>
      <c r="C1" s="678"/>
      <c r="D1" s="678"/>
      <c r="E1" s="678"/>
      <c r="F1" s="678"/>
      <c r="G1" s="678"/>
      <c r="H1" s="678"/>
    </row>
    <row r="3" spans="1:8" ht="15" customHeight="1" x14ac:dyDescent="0.2">
      <c r="A3" s="329" t="s">
        <v>908</v>
      </c>
      <c r="B3" s="119"/>
      <c r="C3" s="119"/>
      <c r="D3" s="119"/>
      <c r="E3" s="119"/>
      <c r="F3" s="119"/>
      <c r="G3" s="119"/>
      <c r="H3" s="119"/>
    </row>
    <row r="4" spans="1:8" ht="15" customHeight="1" x14ac:dyDescent="0.2">
      <c r="A4" s="329" t="s">
        <v>909</v>
      </c>
      <c r="B4" s="261">
        <v>6</v>
      </c>
      <c r="C4" s="3"/>
      <c r="D4" s="3"/>
      <c r="E4" s="3"/>
      <c r="F4" s="3"/>
      <c r="G4" s="3"/>
      <c r="H4" s="3"/>
    </row>
    <row r="5" spans="1:8" ht="15" customHeight="1" x14ac:dyDescent="0.2">
      <c r="A5" s="329" t="s">
        <v>910</v>
      </c>
      <c r="B5" s="261">
        <v>8</v>
      </c>
      <c r="C5" s="3"/>
      <c r="D5" s="3"/>
      <c r="E5" s="3"/>
      <c r="F5" s="3"/>
      <c r="G5" s="3"/>
      <c r="H5" s="3"/>
    </row>
    <row r="6" spans="1:8" ht="15" customHeight="1" x14ac:dyDescent="0.2">
      <c r="A6" s="329" t="s">
        <v>911</v>
      </c>
      <c r="B6" s="261">
        <v>10</v>
      </c>
      <c r="C6" s="3"/>
      <c r="D6" s="3"/>
      <c r="E6" s="3"/>
      <c r="F6" s="3"/>
      <c r="G6" s="3"/>
      <c r="H6" s="3"/>
    </row>
    <row r="7" spans="1:8" ht="15" customHeight="1" x14ac:dyDescent="0.2">
      <c r="A7" s="329" t="s">
        <v>912</v>
      </c>
      <c r="B7" s="236">
        <v>0.03</v>
      </c>
      <c r="C7" s="3"/>
      <c r="D7" s="3"/>
      <c r="E7" s="3"/>
      <c r="F7" s="3"/>
      <c r="G7" s="3"/>
      <c r="H7" s="3"/>
    </row>
    <row r="8" spans="1:8" ht="15" customHeight="1" x14ac:dyDescent="0.2">
      <c r="A8" s="329" t="s">
        <v>913</v>
      </c>
      <c r="B8" s="2">
        <f>Assumptions!B48</f>
        <v>0.12</v>
      </c>
      <c r="C8" s="3"/>
      <c r="D8" s="3"/>
      <c r="E8" s="3"/>
      <c r="F8" s="3"/>
      <c r="G8" s="3"/>
      <c r="H8" s="3"/>
    </row>
    <row r="9" spans="1:8" ht="15" customHeight="1" x14ac:dyDescent="0.2">
      <c r="A9" s="330" t="s">
        <v>914</v>
      </c>
      <c r="B9" s="88">
        <f>CapEx!D56</f>
        <v>6572160</v>
      </c>
      <c r="C9" s="120"/>
      <c r="D9" s="120"/>
      <c r="E9" s="120"/>
      <c r="F9" s="120"/>
      <c r="G9" s="120"/>
      <c r="H9" s="120"/>
    </row>
    <row r="10" spans="1:8" ht="15" customHeight="1" x14ac:dyDescent="0.2">
      <c r="A10" s="331"/>
      <c r="B10" s="3"/>
      <c r="C10" s="3"/>
      <c r="D10" s="3"/>
      <c r="E10" s="3"/>
      <c r="F10" s="3"/>
      <c r="G10" s="3"/>
      <c r="H10" s="3"/>
    </row>
    <row r="11" spans="1:8" ht="15" customHeight="1" x14ac:dyDescent="0.2">
      <c r="A11" s="329" t="s">
        <v>915</v>
      </c>
      <c r="B11" s="119"/>
      <c r="C11" s="119"/>
      <c r="D11" s="119"/>
      <c r="E11" s="119"/>
      <c r="F11" s="119"/>
      <c r="G11" s="119"/>
      <c r="H11" s="119"/>
    </row>
    <row r="12" spans="1:8" ht="15" customHeight="1" x14ac:dyDescent="0.2">
      <c r="A12" s="332" t="s">
        <v>916</v>
      </c>
      <c r="B12" s="213" t="s">
        <v>34</v>
      </c>
      <c r="C12" s="213" t="s">
        <v>917</v>
      </c>
      <c r="D12" s="213" t="s">
        <v>918</v>
      </c>
      <c r="E12" s="213" t="s">
        <v>919</v>
      </c>
      <c r="F12" s="213" t="s">
        <v>920</v>
      </c>
      <c r="G12" s="213" t="s">
        <v>12</v>
      </c>
      <c r="H12" s="3"/>
    </row>
    <row r="13" spans="1:8" ht="15" customHeight="1" x14ac:dyDescent="0.2">
      <c r="A13" s="329" t="s">
        <v>568</v>
      </c>
      <c r="B13" s="2">
        <f>'P&amp;L'!D20</f>
        <v>2539293.4587707347</v>
      </c>
      <c r="C13" s="235">
        <f>B13*$B$4</f>
        <v>15235760.752624407</v>
      </c>
      <c r="D13" s="235">
        <f>B13*$B$5</f>
        <v>20314347.670165878</v>
      </c>
      <c r="E13" s="235">
        <f>B13*$B$6</f>
        <v>25392934.587707348</v>
      </c>
      <c r="F13" s="262">
        <f>D13/$B$9</f>
        <v>3.0909697375240222</v>
      </c>
      <c r="G13" s="236">
        <f>(D13/$B$9)^(1/3)-1</f>
        <v>0.45668254989252088</v>
      </c>
      <c r="H13" s="3"/>
    </row>
    <row r="14" spans="1:8" ht="15" customHeight="1" x14ac:dyDescent="0.2">
      <c r="A14" s="329" t="s">
        <v>570</v>
      </c>
      <c r="B14" s="2">
        <f>'P&amp;L'!F20</f>
        <v>4389966.6367954286</v>
      </c>
      <c r="C14" s="235">
        <f>B14*$B$4</f>
        <v>26339799.820772573</v>
      </c>
      <c r="D14" s="235">
        <f>B14*$B$5</f>
        <v>35119733.094363429</v>
      </c>
      <c r="E14" s="235">
        <f>B14*$B$6</f>
        <v>43899666.367954284</v>
      </c>
      <c r="F14" s="262">
        <f>D14/$B$9</f>
        <v>5.3437124315846587</v>
      </c>
      <c r="G14" s="236">
        <f>(D14/$B$9)^(1/5)-1</f>
        <v>0.39819780422726758</v>
      </c>
      <c r="H14" s="3"/>
    </row>
    <row r="15" spans="1:8" ht="15" customHeight="1" x14ac:dyDescent="0.2">
      <c r="A15" s="329" t="s">
        <v>572</v>
      </c>
      <c r="B15" s="2">
        <f>'P&amp;L'!H20</f>
        <v>6877942.7567028059</v>
      </c>
      <c r="C15" s="235">
        <f>B15*$B$4</f>
        <v>41267656.540216833</v>
      </c>
      <c r="D15" s="235">
        <f>B15*$B$5</f>
        <v>55023542.053622447</v>
      </c>
      <c r="E15" s="235">
        <f>B15*$B$6</f>
        <v>68779427.567028061</v>
      </c>
      <c r="F15" s="262">
        <f>D15/$B$9</f>
        <v>8.3722158397882041</v>
      </c>
      <c r="G15" s="236">
        <f>(D15/$B$9)^(1/7)-1</f>
        <v>0.35467259511607629</v>
      </c>
      <c r="H15" s="3"/>
    </row>
    <row r="16" spans="1:8" ht="15" customHeight="1" x14ac:dyDescent="0.2">
      <c r="A16" s="329" t="s">
        <v>575</v>
      </c>
      <c r="B16" s="2">
        <f>'P&amp;L'!K20</f>
        <v>8926540.0555489808</v>
      </c>
      <c r="C16" s="235">
        <f>B16*$B$4</f>
        <v>53559240.333293885</v>
      </c>
      <c r="D16" s="235">
        <f>B16*$B$5</f>
        <v>71412320.444391847</v>
      </c>
      <c r="E16" s="235">
        <f>B16*$B$6</f>
        <v>89265400.555489808</v>
      </c>
      <c r="F16" s="262">
        <f>D16/$B$9</f>
        <v>10.865882821536884</v>
      </c>
      <c r="G16" s="236">
        <f>(D16/$B$9)^(1/10)-1</f>
        <v>0.26942340607473869</v>
      </c>
      <c r="H16" s="3"/>
    </row>
    <row r="17" spans="1:8" ht="15" customHeight="1" x14ac:dyDescent="0.2">
      <c r="A17" s="331"/>
      <c r="B17" s="3"/>
      <c r="C17" s="3"/>
      <c r="D17" s="3"/>
      <c r="E17" s="3"/>
      <c r="F17" s="3"/>
      <c r="G17" s="3"/>
      <c r="H17" s="3"/>
    </row>
    <row r="18" spans="1:8" ht="15" customHeight="1" x14ac:dyDescent="0.2">
      <c r="A18" s="330" t="s">
        <v>921</v>
      </c>
      <c r="B18" s="120"/>
      <c r="C18" s="120"/>
      <c r="D18" s="120"/>
      <c r="E18" s="120"/>
      <c r="F18" s="120"/>
      <c r="G18" s="120"/>
      <c r="H18" s="120"/>
    </row>
    <row r="19" spans="1:8" ht="15" customHeight="1" x14ac:dyDescent="0.2">
      <c r="A19" s="332" t="s">
        <v>916</v>
      </c>
      <c r="B19" s="213" t="s">
        <v>918</v>
      </c>
      <c r="C19" s="213" t="s">
        <v>922</v>
      </c>
      <c r="D19" s="213" t="s">
        <v>923</v>
      </c>
      <c r="E19" s="213" t="s">
        <v>924</v>
      </c>
      <c r="F19" s="3"/>
      <c r="G19" s="3"/>
      <c r="H19" s="3"/>
    </row>
    <row r="20" spans="1:8" ht="15" customHeight="1" x14ac:dyDescent="0.2">
      <c r="A20" s="329" t="s">
        <v>568</v>
      </c>
      <c r="B20" s="235">
        <f>D13</f>
        <v>20314347.670165878</v>
      </c>
      <c r="C20" s="235">
        <f>B20-$B$9</f>
        <v>13742187.670165878</v>
      </c>
      <c r="D20" s="258">
        <f>-IF(C20&gt;375000,(C20-375000)*0.09,0)</f>
        <v>-1203046.890314929</v>
      </c>
      <c r="E20" s="235">
        <f>B20+D20</f>
        <v>19111300.779850949</v>
      </c>
      <c r="F20" s="3"/>
      <c r="G20" s="3"/>
      <c r="H20" s="3"/>
    </row>
    <row r="21" spans="1:8" ht="15" customHeight="1" x14ac:dyDescent="0.2">
      <c r="A21" s="329" t="s">
        <v>570</v>
      </c>
      <c r="B21" s="235">
        <f>D14</f>
        <v>35119733.094363429</v>
      </c>
      <c r="C21" s="235">
        <f>B21-$B$9</f>
        <v>28547573.094363429</v>
      </c>
      <c r="D21" s="258">
        <f>-IF(C21&gt;375000,(C21-375000)*0.09,0)</f>
        <v>-2535531.5784927085</v>
      </c>
      <c r="E21" s="235">
        <f>B21+D21</f>
        <v>32584201.51587072</v>
      </c>
      <c r="F21" s="3"/>
      <c r="G21" s="3"/>
      <c r="H21" s="3"/>
    </row>
    <row r="22" spans="1:8" ht="15" customHeight="1" x14ac:dyDescent="0.2">
      <c r="A22" s="329" t="s">
        <v>572</v>
      </c>
      <c r="B22" s="235">
        <f>D15</f>
        <v>55023542.053622447</v>
      </c>
      <c r="C22" s="235">
        <f>B22-$B$9</f>
        <v>48451382.053622447</v>
      </c>
      <c r="D22" s="258">
        <f>-IF(C22&gt;375000,(C22-375000)*0.09,0)</f>
        <v>-4326874.3848260203</v>
      </c>
      <c r="E22" s="235">
        <f>B22+D22</f>
        <v>50696667.668796428</v>
      </c>
      <c r="F22" s="3"/>
      <c r="G22" s="3"/>
      <c r="H22" s="3"/>
    </row>
    <row r="23" spans="1:8" ht="15" customHeight="1" x14ac:dyDescent="0.2">
      <c r="A23" s="329" t="s">
        <v>575</v>
      </c>
      <c r="B23" s="235">
        <f>D16</f>
        <v>71412320.444391847</v>
      </c>
      <c r="C23" s="235">
        <f>B23-$B$9</f>
        <v>64840160.444391847</v>
      </c>
      <c r="D23" s="258">
        <f>-IF(C23&gt;375000,(C23-375000)*0.09,0)</f>
        <v>-5801864.4399952656</v>
      </c>
      <c r="E23" s="235">
        <f>B23+D23</f>
        <v>65610456.00439658</v>
      </c>
      <c r="F23" s="3"/>
      <c r="G23" s="3"/>
      <c r="H23" s="3"/>
    </row>
    <row r="24" spans="1:8" ht="15" customHeight="1" x14ac:dyDescent="0.2">
      <c r="A24" s="331"/>
      <c r="B24" s="3"/>
      <c r="C24" s="3"/>
      <c r="D24" s="3"/>
      <c r="E24" s="3"/>
      <c r="F24" s="3"/>
      <c r="G24" s="3"/>
      <c r="H24" s="3"/>
    </row>
    <row r="25" spans="1:8" ht="15" customHeight="1" x14ac:dyDescent="0.2">
      <c r="A25" s="329" t="s">
        <v>925</v>
      </c>
      <c r="B25" s="119"/>
      <c r="C25" s="119"/>
      <c r="D25" s="119"/>
      <c r="E25" s="119"/>
      <c r="F25" s="119"/>
      <c r="G25" s="119"/>
      <c r="H25" s="119"/>
    </row>
    <row r="26" spans="1:8" ht="15" customHeight="1" x14ac:dyDescent="0.2">
      <c r="A26" s="332" t="s">
        <v>926</v>
      </c>
      <c r="B26" s="213" t="s">
        <v>889</v>
      </c>
      <c r="C26" s="213" t="s">
        <v>890</v>
      </c>
      <c r="D26" s="213" t="s">
        <v>891</v>
      </c>
      <c r="E26" s="213" t="s">
        <v>892</v>
      </c>
      <c r="F26" s="213" t="s">
        <v>893</v>
      </c>
      <c r="G26" s="3"/>
      <c r="H26" s="3"/>
    </row>
    <row r="27" spans="1:8" ht="15" customHeight="1" x14ac:dyDescent="0.2">
      <c r="A27" s="329" t="s">
        <v>568</v>
      </c>
      <c r="B27" s="236">
        <f>(B13*6/$B$9)^(1/3)-1</f>
        <v>0.32348392931446512</v>
      </c>
      <c r="C27" s="236">
        <f>(B13*8/$B$9)^(1/3)-1</f>
        <v>0.45668254989252088</v>
      </c>
      <c r="D27" s="236">
        <f>(B13*10/$B$9)^(1/3)-1</f>
        <v>0.56916370892627377</v>
      </c>
      <c r="E27" s="236">
        <f>(B13*12/$B$9)^(1/3)-1</f>
        <v>0.66748526174087308</v>
      </c>
      <c r="F27" s="236">
        <f>(B13*15/$B$9)^(1/3)-1</f>
        <v>0.79624404650571612</v>
      </c>
      <c r="G27" s="3"/>
      <c r="H27" s="3"/>
    </row>
    <row r="28" spans="1:8" ht="15" customHeight="1" x14ac:dyDescent="0.2">
      <c r="A28" s="329" t="s">
        <v>570</v>
      </c>
      <c r="B28" s="236">
        <f>(B14*6/$B$9)^(1/5)-1</f>
        <v>0.32002108529091755</v>
      </c>
      <c r="C28" s="236">
        <f>(B14*8/$B$9)^(1/5)-1</f>
        <v>0.39819780422726758</v>
      </c>
      <c r="D28" s="236">
        <f>(B14*10/$B$9)^(1/5)-1</f>
        <v>0.4620109264463006</v>
      </c>
      <c r="E28" s="236">
        <f>(B14*12/$B$9)^(1/5)-1</f>
        <v>0.51630604923507795</v>
      </c>
      <c r="F28" s="236">
        <f>(B14*15/$B$9)^(1/5)-1</f>
        <v>0.585509578913608</v>
      </c>
      <c r="G28" s="3"/>
      <c r="H28" s="3"/>
    </row>
    <row r="29" spans="1:8" ht="15" customHeight="1" x14ac:dyDescent="0.2">
      <c r="A29" s="329" t="s">
        <v>572</v>
      </c>
      <c r="B29" s="236">
        <f>(B15*6/$B$9)^(1/7)-1</f>
        <v>0.30012752913777163</v>
      </c>
      <c r="C29" s="236">
        <f>(B15*8/$B$9)^(1/7)-1</f>
        <v>0.35467259511607629</v>
      </c>
      <c r="D29" s="236">
        <f>(B15*10/$B$9)^(1/7)-1</f>
        <v>0.39855204536605848</v>
      </c>
      <c r="E29" s="236">
        <f>(B15*12/$B$9)^(1/7)-1</f>
        <v>0.43545717135965756</v>
      </c>
      <c r="F29" s="236">
        <f>(B15*15/$B$9)^(1/7)-1</f>
        <v>0.48195332974046479</v>
      </c>
      <c r="G29" s="3"/>
      <c r="H29" s="3"/>
    </row>
    <row r="30" spans="1:8" ht="15" customHeight="1" x14ac:dyDescent="0.2">
      <c r="A30" s="329" t="s">
        <v>575</v>
      </c>
      <c r="B30" s="236">
        <f>(B16*6/$B$9)^(1/10)-1</f>
        <v>0.23342466280864871</v>
      </c>
      <c r="C30" s="236">
        <f>(B16*8/$B$9)^(1/10)-1</f>
        <v>0.26942340607473869</v>
      </c>
      <c r="D30" s="236">
        <f>(B16*10/$B$9)^(1/10)-1</f>
        <v>0.2980681769832878</v>
      </c>
      <c r="E30" s="236">
        <f>(B16*12/$B$9)^(1/10)-1</f>
        <v>0.32195182163608527</v>
      </c>
      <c r="F30" s="236">
        <f>(B16*15/$B$9)^(1/10)-1</f>
        <v>0.35178190583155122</v>
      </c>
      <c r="G30" s="3"/>
      <c r="H30" s="3"/>
    </row>
    <row r="32" spans="1:8" ht="15" customHeight="1" x14ac:dyDescent="0.2">
      <c r="A32" s="680" t="s">
        <v>927</v>
      </c>
      <c r="B32" s="681"/>
      <c r="C32" s="681"/>
      <c r="D32" s="681"/>
      <c r="E32" s="681"/>
      <c r="F32" s="681"/>
      <c r="G32" s="681"/>
      <c r="H32" s="682"/>
    </row>
    <row r="33" spans="1:8" ht="15" customHeight="1" x14ac:dyDescent="0.2">
      <c r="A33" s="333" t="s">
        <v>928</v>
      </c>
      <c r="B33" s="244" t="s">
        <v>929</v>
      </c>
      <c r="C33" s="244" t="s">
        <v>930</v>
      </c>
      <c r="D33" s="244" t="s">
        <v>931</v>
      </c>
      <c r="E33" s="244" t="s">
        <v>932</v>
      </c>
      <c r="F33" s="244" t="s">
        <v>933</v>
      </c>
    </row>
    <row r="34" spans="1:8" ht="15" customHeight="1" x14ac:dyDescent="0.2">
      <c r="A34" s="334" t="s">
        <v>934</v>
      </c>
      <c r="B34" s="247" t="s">
        <v>935</v>
      </c>
      <c r="C34" s="247" t="s">
        <v>936</v>
      </c>
      <c r="D34" s="222" t="s">
        <v>937</v>
      </c>
      <c r="E34" s="222" t="s">
        <v>938</v>
      </c>
      <c r="F34" s="222" t="s">
        <v>939</v>
      </c>
    </row>
    <row r="35" spans="1:8" ht="15" customHeight="1" x14ac:dyDescent="0.2">
      <c r="A35" s="334" t="s">
        <v>940</v>
      </c>
      <c r="B35" s="247" t="s">
        <v>941</v>
      </c>
      <c r="C35" s="247" t="s">
        <v>942</v>
      </c>
      <c r="D35" s="222" t="s">
        <v>943</v>
      </c>
      <c r="E35" s="222" t="s">
        <v>944</v>
      </c>
      <c r="F35" s="222" t="s">
        <v>945</v>
      </c>
    </row>
    <row r="36" spans="1:8" ht="15" customHeight="1" x14ac:dyDescent="0.2">
      <c r="A36" s="334" t="s">
        <v>946</v>
      </c>
      <c r="B36" s="247" t="s">
        <v>947</v>
      </c>
      <c r="C36" s="247" t="s">
        <v>948</v>
      </c>
      <c r="D36" s="222" t="s">
        <v>949</v>
      </c>
      <c r="E36" s="222" t="s">
        <v>950</v>
      </c>
      <c r="F36" s="222" t="s">
        <v>945</v>
      </c>
    </row>
    <row r="37" spans="1:8" ht="15" customHeight="1" x14ac:dyDescent="0.2">
      <c r="A37" s="334" t="s">
        <v>951</v>
      </c>
      <c r="B37" s="247" t="s">
        <v>952</v>
      </c>
      <c r="C37" s="247" t="s">
        <v>953</v>
      </c>
      <c r="D37" s="222" t="s">
        <v>954</v>
      </c>
      <c r="E37" s="222" t="s">
        <v>955</v>
      </c>
      <c r="F37" s="222" t="s">
        <v>939</v>
      </c>
    </row>
    <row r="38" spans="1:8" ht="15" customHeight="1" x14ac:dyDescent="0.2">
      <c r="A38" s="334" t="s">
        <v>956</v>
      </c>
      <c r="B38" s="247" t="s">
        <v>957</v>
      </c>
      <c r="C38" s="247" t="s">
        <v>958</v>
      </c>
      <c r="D38" s="222" t="s">
        <v>959</v>
      </c>
      <c r="E38" s="222" t="s">
        <v>960</v>
      </c>
      <c r="F38" s="222" t="s">
        <v>939</v>
      </c>
    </row>
    <row r="40" spans="1:8" ht="15" customHeight="1" x14ac:dyDescent="0.2">
      <c r="A40" s="680" t="s">
        <v>961</v>
      </c>
      <c r="B40" s="681"/>
      <c r="C40" s="681"/>
      <c r="D40" s="681"/>
      <c r="E40" s="681"/>
      <c r="F40" s="681"/>
      <c r="G40" s="681"/>
      <c r="H40" s="682"/>
    </row>
    <row r="41" spans="1:8" ht="15" customHeight="1" x14ac:dyDescent="0.2">
      <c r="A41" s="333" t="s">
        <v>916</v>
      </c>
      <c r="B41" s="244" t="s">
        <v>962</v>
      </c>
      <c r="C41" s="244" t="s">
        <v>963</v>
      </c>
      <c r="D41" s="244" t="s">
        <v>964</v>
      </c>
      <c r="E41" s="244" t="s">
        <v>965</v>
      </c>
      <c r="F41" s="244" t="s">
        <v>920</v>
      </c>
    </row>
    <row r="42" spans="1:8" ht="15" customHeight="1" x14ac:dyDescent="0.2">
      <c r="A42" s="334" t="s">
        <v>566</v>
      </c>
      <c r="B42" s="223">
        <f>'Cash Flow &amp; DCF'!B7</f>
        <v>-6572160</v>
      </c>
      <c r="C42" s="223">
        <f>'P&amp;L'!B20*$B$5</f>
        <v>-2572000.0000000037</v>
      </c>
      <c r="D42" s="263">
        <f t="shared" ref="D42:D51" si="0">B42+C42</f>
        <v>-9144160.0000000037</v>
      </c>
      <c r="E42" s="223">
        <f t="shared" ref="E42:E51" si="1">D42-$B$9</f>
        <v>-15716320.000000004</v>
      </c>
      <c r="F42" s="264">
        <f t="shared" ref="F42:F51" si="2">D42/$B$9</f>
        <v>-1.3913477456422247</v>
      </c>
    </row>
    <row r="43" spans="1:8" ht="15" customHeight="1" x14ac:dyDescent="0.2">
      <c r="A43" s="334" t="s">
        <v>567</v>
      </c>
      <c r="B43" s="223">
        <f>B42+'Cash Flow &amp; DCF'!C7</f>
        <v>-6893660</v>
      </c>
      <c r="C43" s="223">
        <f>'P&amp;L'!C20*$B$5</f>
        <v>9422953.9290536642</v>
      </c>
      <c r="D43" s="263">
        <f t="shared" si="0"/>
        <v>2529293.9290536642</v>
      </c>
      <c r="E43" s="223">
        <f t="shared" si="1"/>
        <v>-4042866.0709463358</v>
      </c>
      <c r="F43" s="264">
        <f t="shared" si="2"/>
        <v>0.38484971897422832</v>
      </c>
    </row>
    <row r="44" spans="1:8" ht="15" customHeight="1" x14ac:dyDescent="0.2">
      <c r="A44" s="334" t="s">
        <v>568</v>
      </c>
      <c r="B44" s="223">
        <f>B43+'Cash Flow &amp; DCF'!D7</f>
        <v>-5727414.7048558602</v>
      </c>
      <c r="C44" s="223">
        <f>'P&amp;L'!D20*$B$5</f>
        <v>20314347.670165878</v>
      </c>
      <c r="D44" s="121">
        <f t="shared" si="0"/>
        <v>14586932.965310019</v>
      </c>
      <c r="E44" s="223">
        <f t="shared" si="1"/>
        <v>8014772.9653100185</v>
      </c>
      <c r="F44" s="264">
        <f t="shared" si="2"/>
        <v>2.2195036282302953</v>
      </c>
    </row>
    <row r="45" spans="1:8" ht="15" customHeight="1" x14ac:dyDescent="0.2">
      <c r="A45" s="334" t="s">
        <v>569</v>
      </c>
      <c r="B45" s="223">
        <f>B44+'Cash Flow &amp; DCF'!E7</f>
        <v>-3322273.3716602055</v>
      </c>
      <c r="C45" s="223">
        <f>'P&amp;L'!E20*$B$5</f>
        <v>26822693.684580978</v>
      </c>
      <c r="D45" s="263">
        <f t="shared" si="0"/>
        <v>23500420.312920772</v>
      </c>
      <c r="E45" s="223">
        <f t="shared" si="1"/>
        <v>16928260.312920772</v>
      </c>
      <c r="F45" s="264">
        <f t="shared" si="2"/>
        <v>3.5757529203368104</v>
      </c>
    </row>
    <row r="46" spans="1:8" ht="15" customHeight="1" x14ac:dyDescent="0.2">
      <c r="A46" s="334" t="s">
        <v>570</v>
      </c>
      <c r="B46" s="223">
        <f>B45+'Cash Flow &amp; DCF'!F7</f>
        <v>-176807.67932483368</v>
      </c>
      <c r="C46" s="223">
        <f>'P&amp;L'!F20*$B$5</f>
        <v>35119733.094363429</v>
      </c>
      <c r="D46" s="121">
        <f t="shared" si="0"/>
        <v>34942925.415038593</v>
      </c>
      <c r="E46" s="223">
        <f t="shared" si="1"/>
        <v>28370765.415038593</v>
      </c>
      <c r="F46" s="264">
        <f t="shared" si="2"/>
        <v>5.3168099095333332</v>
      </c>
    </row>
    <row r="47" spans="1:8" ht="15" customHeight="1" x14ac:dyDescent="0.2">
      <c r="A47" s="334" t="s">
        <v>571</v>
      </c>
      <c r="B47" s="223">
        <f>B46+'Cash Flow &amp; DCF'!G7</f>
        <v>3912446.245873292</v>
      </c>
      <c r="C47" s="223">
        <f>'P&amp;L'!G20*$B$5</f>
        <v>45041117.317422278</v>
      </c>
      <c r="D47" s="263">
        <f t="shared" si="0"/>
        <v>48953563.563295573</v>
      </c>
      <c r="E47" s="223">
        <f t="shared" si="1"/>
        <v>42381403.563295573</v>
      </c>
      <c r="F47" s="264">
        <f t="shared" si="2"/>
        <v>7.4486262603612161</v>
      </c>
    </row>
    <row r="48" spans="1:8" ht="15" customHeight="1" x14ac:dyDescent="0.2">
      <c r="A48" s="334" t="s">
        <v>572</v>
      </c>
      <c r="B48" s="223">
        <f>B47+'Cash Flow &amp; DCF'!H7</f>
        <v>9130257.6264443621</v>
      </c>
      <c r="C48" s="223">
        <f>'P&amp;L'!H20*$B$5</f>
        <v>55023542.053622447</v>
      </c>
      <c r="D48" s="121">
        <f t="shared" si="0"/>
        <v>64153799.680066809</v>
      </c>
      <c r="E48" s="223">
        <f t="shared" si="1"/>
        <v>57581639.680066809</v>
      </c>
      <c r="F48" s="264">
        <f t="shared" si="2"/>
        <v>9.7614482422927633</v>
      </c>
    </row>
    <row r="49" spans="1:8" ht="15" customHeight="1" x14ac:dyDescent="0.2">
      <c r="A49" s="334" t="s">
        <v>573</v>
      </c>
      <c r="B49" s="223">
        <f>B48+'Cash Flow &amp; DCF'!I7</f>
        <v>15483569.820758201</v>
      </c>
      <c r="C49" s="223">
        <f>'P&amp;L'!I20*$B$5</f>
        <v>61897806.014711723</v>
      </c>
      <c r="D49" s="263">
        <f t="shared" si="0"/>
        <v>77381375.835469931</v>
      </c>
      <c r="E49" s="223">
        <f t="shared" si="1"/>
        <v>70809215.835469931</v>
      </c>
      <c r="F49" s="264">
        <f t="shared" si="2"/>
        <v>11.774116247241384</v>
      </c>
    </row>
    <row r="50" spans="1:8" ht="15" customHeight="1" x14ac:dyDescent="0.2">
      <c r="A50" s="334" t="s">
        <v>574</v>
      </c>
      <c r="B50" s="223">
        <f>B49+'Cash Flow &amp; DCF'!J7</f>
        <v>22558195.254931659</v>
      </c>
      <c r="C50" s="223">
        <f>'P&amp;L'!J20*$B$5</f>
        <v>66577727.456774518</v>
      </c>
      <c r="D50" s="263">
        <f t="shared" si="0"/>
        <v>89135922.711706176</v>
      </c>
      <c r="E50" s="223">
        <f t="shared" si="1"/>
        <v>82563762.711706176</v>
      </c>
      <c r="F50" s="264">
        <f t="shared" si="2"/>
        <v>13.562652569582326</v>
      </c>
    </row>
    <row r="51" spans="1:8" ht="15" customHeight="1" x14ac:dyDescent="0.2">
      <c r="A51" s="334" t="s">
        <v>575</v>
      </c>
      <c r="B51" s="223">
        <f>B50+'Cash Flow &amp; DCF'!K7</f>
        <v>30165161.75313976</v>
      </c>
      <c r="C51" s="223">
        <f>'P&amp;L'!K20*$B$5</f>
        <v>71412320.444391847</v>
      </c>
      <c r="D51" s="121">
        <f t="shared" si="0"/>
        <v>101577482.19753161</v>
      </c>
      <c r="E51" s="223">
        <f t="shared" si="1"/>
        <v>95005322.197531611</v>
      </c>
      <c r="F51" s="264">
        <f t="shared" si="2"/>
        <v>15.455722653972455</v>
      </c>
    </row>
    <row r="53" spans="1:8" ht="15" customHeight="1" x14ac:dyDescent="0.2">
      <c r="A53" s="680" t="s">
        <v>966</v>
      </c>
      <c r="B53" s="681"/>
      <c r="C53" s="681"/>
      <c r="D53" s="681"/>
      <c r="E53" s="681"/>
      <c r="F53" s="681"/>
      <c r="G53" s="681"/>
      <c r="H53" s="682"/>
    </row>
    <row r="54" spans="1:8" ht="15" customHeight="1" x14ac:dyDescent="0.2">
      <c r="A54" s="683" t="s">
        <v>967</v>
      </c>
      <c r="B54" s="681"/>
      <c r="C54" s="681"/>
      <c r="D54" s="681"/>
      <c r="E54" s="681"/>
      <c r="F54" s="681"/>
      <c r="G54" s="681"/>
      <c r="H54" s="682"/>
    </row>
    <row r="55" spans="1:8" ht="15" customHeight="1" x14ac:dyDescent="0.2">
      <c r="A55" s="683" t="s">
        <v>968</v>
      </c>
      <c r="B55" s="681"/>
      <c r="C55" s="681"/>
      <c r="D55" s="681"/>
      <c r="E55" s="681"/>
      <c r="F55" s="681"/>
      <c r="G55" s="681"/>
      <c r="H55" s="682"/>
    </row>
    <row r="56" spans="1:8" ht="15" customHeight="1" x14ac:dyDescent="0.2">
      <c r="A56" s="683" t="s">
        <v>969</v>
      </c>
      <c r="B56" s="681"/>
      <c r="C56" s="681"/>
      <c r="D56" s="681"/>
      <c r="E56" s="681"/>
      <c r="F56" s="681"/>
      <c r="G56" s="681"/>
      <c r="H56" s="682"/>
    </row>
    <row r="57" spans="1:8" ht="15" customHeight="1" x14ac:dyDescent="0.2">
      <c r="A57" s="683" t="s">
        <v>970</v>
      </c>
      <c r="B57" s="681"/>
      <c r="C57" s="681"/>
      <c r="D57" s="681"/>
      <c r="E57" s="681"/>
      <c r="F57" s="681"/>
      <c r="G57" s="681"/>
      <c r="H57" s="682"/>
    </row>
    <row r="58" spans="1:8" ht="15" customHeight="1" x14ac:dyDescent="0.2">
      <c r="A58" s="683" t="s">
        <v>971</v>
      </c>
      <c r="B58" s="681"/>
      <c r="C58" s="681"/>
      <c r="D58" s="681"/>
      <c r="E58" s="681"/>
      <c r="F58" s="681"/>
      <c r="G58" s="681"/>
      <c r="H58" s="682"/>
    </row>
    <row r="59" spans="1:8" ht="15" customHeight="1" x14ac:dyDescent="0.2">
      <c r="A59" s="683" t="s">
        <v>972</v>
      </c>
      <c r="B59" s="681"/>
      <c r="C59" s="681"/>
      <c r="D59" s="681"/>
      <c r="E59" s="681"/>
      <c r="F59" s="681"/>
      <c r="G59" s="681"/>
      <c r="H59" s="682"/>
    </row>
  </sheetData>
  <mergeCells count="10">
    <mergeCell ref="A1:H1"/>
    <mergeCell ref="A32:H32"/>
    <mergeCell ref="A58:H58"/>
    <mergeCell ref="A40:H40"/>
    <mergeCell ref="A56:H56"/>
    <mergeCell ref="A53:H53"/>
    <mergeCell ref="A55:H55"/>
    <mergeCell ref="A59:H59"/>
    <mergeCell ref="A57:H57"/>
    <mergeCell ref="A54:H54"/>
  </mergeCells>
  <pageMargins left="0.75" right="0.75" top="1" bottom="1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8"/>
  <sheetViews>
    <sheetView workbookViewId="0"/>
  </sheetViews>
  <sheetFormatPr baseColWidth="10" defaultColWidth="8.83203125" defaultRowHeight="15" x14ac:dyDescent="0.2"/>
  <cols>
    <col min="1" max="1" width="28" customWidth="1"/>
    <col min="2" max="8" width="14" customWidth="1"/>
  </cols>
  <sheetData>
    <row r="1" spans="1:8" x14ac:dyDescent="0.2">
      <c r="A1" s="140" t="s">
        <v>973</v>
      </c>
      <c r="B1" s="141"/>
      <c r="C1" s="141"/>
      <c r="D1" s="141"/>
      <c r="E1" s="141"/>
      <c r="F1" s="141"/>
      <c r="G1" s="141"/>
      <c r="H1" s="141"/>
    </row>
    <row r="3" spans="1:8" x14ac:dyDescent="0.2">
      <c r="A3" s="142" t="s">
        <v>974</v>
      </c>
    </row>
    <row r="4" spans="1:8" x14ac:dyDescent="0.2">
      <c r="A4" s="218" t="s">
        <v>975</v>
      </c>
      <c r="B4" s="217">
        <f>CapEx!D56</f>
        <v>6572160</v>
      </c>
    </row>
    <row r="5" spans="1:8" x14ac:dyDescent="0.2">
      <c r="A5" s="218" t="s">
        <v>976</v>
      </c>
      <c r="B5" s="217">
        <f>'P&amp;L'!F20</f>
        <v>4389966.6367954286</v>
      </c>
    </row>
    <row r="6" spans="1:8" x14ac:dyDescent="0.2">
      <c r="A6" s="218" t="s">
        <v>977</v>
      </c>
      <c r="B6" s="217">
        <f>'P&amp;L'!K20</f>
        <v>8926540.0555489808</v>
      </c>
    </row>
    <row r="7" spans="1:8" x14ac:dyDescent="0.2">
      <c r="A7" s="218" t="s">
        <v>978</v>
      </c>
      <c r="B7" s="217">
        <f>Revenue!F13</f>
        <v>23739471.814656001</v>
      </c>
    </row>
    <row r="9" spans="1:8" x14ac:dyDescent="0.2">
      <c r="A9" s="140" t="s">
        <v>979</v>
      </c>
      <c r="B9" s="141"/>
      <c r="C9" s="141"/>
      <c r="D9" s="141"/>
      <c r="E9" s="141"/>
      <c r="F9" s="141"/>
      <c r="G9" s="141"/>
      <c r="H9" s="141"/>
    </row>
    <row r="10" spans="1:8" x14ac:dyDescent="0.2">
      <c r="A10" s="152" t="s">
        <v>980</v>
      </c>
      <c r="B10" s="152" t="s">
        <v>981</v>
      </c>
      <c r="C10" s="152" t="s">
        <v>978</v>
      </c>
      <c r="D10" s="152" t="s">
        <v>976</v>
      </c>
      <c r="E10" s="152" t="s">
        <v>982</v>
      </c>
      <c r="F10" s="152" t="s">
        <v>983</v>
      </c>
      <c r="G10" s="152" t="s">
        <v>977</v>
      </c>
      <c r="H10" s="152" t="s">
        <v>984</v>
      </c>
    </row>
    <row r="11" spans="1:8" x14ac:dyDescent="0.2">
      <c r="A11" s="218" t="s">
        <v>985</v>
      </c>
      <c r="B11" s="221">
        <v>-0.3</v>
      </c>
      <c r="C11" s="217">
        <f t="shared" ref="C11:C17" si="0">$B$7*(1+B11)</f>
        <v>16617630.2702592</v>
      </c>
      <c r="D11" s="217">
        <f t="shared" ref="D11:D17" si="1">$B$5+$B$7*B11*0.5</f>
        <v>829045.86459702859</v>
      </c>
      <c r="E11" s="211">
        <f t="shared" ref="E11:E17" si="2">IF(C11&lt;&gt;0,D11/C11,0)</f>
        <v>4.9889536059830583E-2</v>
      </c>
      <c r="F11" s="217">
        <f>Revenue!K13*(1+B11)</f>
        <v>24582957.698127661</v>
      </c>
      <c r="G11" s="217">
        <f>$B$6+Revenue!K13*B11*0.5</f>
        <v>3658763.4059501961</v>
      </c>
      <c r="H11" s="211">
        <f t="shared" ref="H11:H17" si="3">IF(F11&lt;&gt;0,G11/F11,0)</f>
        <v>0.14883332798595111</v>
      </c>
    </row>
    <row r="12" spans="1:8" x14ac:dyDescent="0.2">
      <c r="A12" s="218" t="s">
        <v>986</v>
      </c>
      <c r="B12" s="221">
        <v>-0.2</v>
      </c>
      <c r="C12" s="217">
        <f t="shared" si="0"/>
        <v>18991577.451724801</v>
      </c>
      <c r="D12" s="217">
        <f t="shared" si="1"/>
        <v>2016019.4553298284</v>
      </c>
      <c r="E12" s="211">
        <f t="shared" si="2"/>
        <v>0.10615334405235174</v>
      </c>
      <c r="F12" s="217">
        <f>Revenue!K13*(1+B12)</f>
        <v>28094808.79786019</v>
      </c>
      <c r="G12" s="217">
        <f>$B$6+Revenue!K13*B12*0.5</f>
        <v>5414688.955816457</v>
      </c>
      <c r="H12" s="211">
        <f t="shared" si="3"/>
        <v>0.19272916198770718</v>
      </c>
    </row>
    <row r="13" spans="1:8" x14ac:dyDescent="0.2">
      <c r="A13" s="218" t="s">
        <v>987</v>
      </c>
      <c r="B13" s="221">
        <v>-0.1</v>
      </c>
      <c r="C13" s="217">
        <f t="shared" si="0"/>
        <v>21365524.633190401</v>
      </c>
      <c r="D13" s="217">
        <f t="shared" si="1"/>
        <v>3202993.0460626287</v>
      </c>
      <c r="E13" s="211">
        <f t="shared" si="2"/>
        <v>0.14991408360209046</v>
      </c>
      <c r="F13" s="217">
        <f>Revenue!K13*(1+B13)</f>
        <v>31606659.897592712</v>
      </c>
      <c r="G13" s="217">
        <f>$B$6+Revenue!K13*B13*0.5</f>
        <v>7170614.5056827189</v>
      </c>
      <c r="H13" s="211">
        <f t="shared" si="3"/>
        <v>0.22687036621129528</v>
      </c>
    </row>
    <row r="14" spans="1:8" x14ac:dyDescent="0.2">
      <c r="A14" s="274" t="s">
        <v>988</v>
      </c>
      <c r="B14" s="275">
        <v>0</v>
      </c>
      <c r="C14" s="276">
        <f t="shared" si="0"/>
        <v>23739471.814656001</v>
      </c>
      <c r="D14" s="276">
        <f t="shared" si="1"/>
        <v>4389966.6367954286</v>
      </c>
      <c r="E14" s="277">
        <f t="shared" si="2"/>
        <v>0.18492267524188141</v>
      </c>
      <c r="F14" s="276">
        <f>Revenue!K13*(1+B14)</f>
        <v>35118510.997325234</v>
      </c>
      <c r="G14" s="276">
        <f>$B$6+Revenue!K13*B14*0.5</f>
        <v>8926540.0555489808</v>
      </c>
      <c r="H14" s="277">
        <f t="shared" si="3"/>
        <v>0.25418332959016576</v>
      </c>
    </row>
    <row r="15" spans="1:8" x14ac:dyDescent="0.2">
      <c r="A15" s="218" t="s">
        <v>989</v>
      </c>
      <c r="B15" s="221">
        <v>0.1</v>
      </c>
      <c r="C15" s="217">
        <f t="shared" si="0"/>
        <v>26113418.996121604</v>
      </c>
      <c r="D15" s="217">
        <f t="shared" si="1"/>
        <v>5576940.2275282284</v>
      </c>
      <c r="E15" s="211">
        <f t="shared" si="2"/>
        <v>0.21356606840171033</v>
      </c>
      <c r="F15" s="217">
        <f>Revenue!K13*(1+B15)</f>
        <v>38630362.09705776</v>
      </c>
      <c r="G15" s="217">
        <f>$B$6+Revenue!K13*B15*0.5</f>
        <v>10682465.605415244</v>
      </c>
      <c r="H15" s="211">
        <f t="shared" si="3"/>
        <v>0.27653029962742343</v>
      </c>
    </row>
    <row r="16" spans="1:8" x14ac:dyDescent="0.2">
      <c r="A16" s="218" t="s">
        <v>990</v>
      </c>
      <c r="B16" s="221">
        <v>0.2</v>
      </c>
      <c r="C16" s="217">
        <f t="shared" si="0"/>
        <v>28487366.1775872</v>
      </c>
      <c r="D16" s="217">
        <f t="shared" si="1"/>
        <v>6763913.8182610292</v>
      </c>
      <c r="E16" s="211">
        <f t="shared" si="2"/>
        <v>0.23743556270156785</v>
      </c>
      <c r="F16" s="217">
        <f>Revenue!K13*(1+B16)</f>
        <v>42142213.196790278</v>
      </c>
      <c r="G16" s="217">
        <f>$B$6+Revenue!K13*B16*0.5</f>
        <v>12438391.155281505</v>
      </c>
      <c r="H16" s="211">
        <f t="shared" si="3"/>
        <v>0.29515277465847151</v>
      </c>
    </row>
    <row r="17" spans="1:8" x14ac:dyDescent="0.2">
      <c r="A17" s="218" t="s">
        <v>991</v>
      </c>
      <c r="B17" s="221">
        <v>0.3</v>
      </c>
      <c r="C17" s="217">
        <f t="shared" si="0"/>
        <v>30861313.359052803</v>
      </c>
      <c r="D17" s="217">
        <f t="shared" si="1"/>
        <v>7950887.408993829</v>
      </c>
      <c r="E17" s="211">
        <f t="shared" si="2"/>
        <v>0.25763282710913954</v>
      </c>
      <c r="F17" s="217">
        <f>Revenue!K13*(1+B17)</f>
        <v>45654064.296522804</v>
      </c>
      <c r="G17" s="217">
        <f>$B$6+Revenue!K13*B17*0.5</f>
        <v>14194316.705147766</v>
      </c>
      <c r="H17" s="211">
        <f t="shared" si="3"/>
        <v>0.31091025353089674</v>
      </c>
    </row>
    <row r="19" spans="1:8" x14ac:dyDescent="0.2">
      <c r="A19" s="140" t="s">
        <v>992</v>
      </c>
      <c r="B19" s="141"/>
      <c r="C19" s="141"/>
      <c r="D19" s="141"/>
      <c r="E19" s="141"/>
    </row>
    <row r="20" spans="1:8" x14ac:dyDescent="0.2">
      <c r="A20" s="152" t="s">
        <v>980</v>
      </c>
      <c r="B20" s="152" t="s">
        <v>993</v>
      </c>
      <c r="C20" s="152" t="s">
        <v>994</v>
      </c>
      <c r="D20" s="152" t="s">
        <v>995</v>
      </c>
      <c r="E20" s="152" t="s">
        <v>996</v>
      </c>
    </row>
    <row r="21" spans="1:8" x14ac:dyDescent="0.2">
      <c r="A21" s="218" t="s">
        <v>997</v>
      </c>
      <c r="B21" s="221">
        <v>-0.3</v>
      </c>
      <c r="C21" s="217">
        <f t="shared" ref="C21:C27" si="4">$B$4*(1+B21)</f>
        <v>4600512</v>
      </c>
      <c r="D21" s="227">
        <f t="shared" ref="D21:D27" si="5">1+B21</f>
        <v>0.7</v>
      </c>
      <c r="E21" s="217">
        <f>'Cash Flow &amp; DCF'!L15+$B$4*B21</f>
        <v>13064732.179488774</v>
      </c>
    </row>
    <row r="22" spans="1:8" x14ac:dyDescent="0.2">
      <c r="A22" s="218" t="s">
        <v>998</v>
      </c>
      <c r="B22" s="221">
        <v>-0.2</v>
      </c>
      <c r="C22" s="217">
        <f t="shared" si="4"/>
        <v>5257728</v>
      </c>
      <c r="D22" s="227">
        <f t="shared" si="5"/>
        <v>0.8</v>
      </c>
      <c r="E22" s="217">
        <f>'Cash Flow &amp; DCF'!L15+$B$4*B22</f>
        <v>13721948.179488774</v>
      </c>
    </row>
    <row r="23" spans="1:8" x14ac:dyDescent="0.2">
      <c r="A23" s="218" t="s">
        <v>999</v>
      </c>
      <c r="B23" s="221">
        <v>-0.1</v>
      </c>
      <c r="C23" s="217">
        <f t="shared" si="4"/>
        <v>5914944</v>
      </c>
      <c r="D23" s="227">
        <f t="shared" si="5"/>
        <v>0.9</v>
      </c>
      <c r="E23" s="217">
        <f>'Cash Flow &amp; DCF'!L15+$B$4*B23</f>
        <v>14379164.179488774</v>
      </c>
    </row>
    <row r="24" spans="1:8" x14ac:dyDescent="0.2">
      <c r="A24" s="274" t="s">
        <v>1000</v>
      </c>
      <c r="B24" s="275">
        <v>0</v>
      </c>
      <c r="C24" s="276">
        <f t="shared" si="4"/>
        <v>6572160</v>
      </c>
      <c r="D24" s="278">
        <f t="shared" si="5"/>
        <v>1</v>
      </c>
      <c r="E24" s="276">
        <f>'Cash Flow &amp; DCF'!L15+$B$4*B24</f>
        <v>15036380.179488774</v>
      </c>
    </row>
    <row r="25" spans="1:8" x14ac:dyDescent="0.2">
      <c r="A25" s="218" t="s">
        <v>1001</v>
      </c>
      <c r="B25" s="221">
        <v>0.1</v>
      </c>
      <c r="C25" s="217">
        <f t="shared" si="4"/>
        <v>7229376.0000000009</v>
      </c>
      <c r="D25" s="227">
        <f t="shared" si="5"/>
        <v>1.1000000000000001</v>
      </c>
      <c r="E25" s="217">
        <f>'Cash Flow &amp; DCF'!L15+$B$4*B25</f>
        <v>15693596.179488774</v>
      </c>
    </row>
    <row r="26" spans="1:8" x14ac:dyDescent="0.2">
      <c r="A26" s="218" t="s">
        <v>1002</v>
      </c>
      <c r="B26" s="221">
        <v>0.2</v>
      </c>
      <c r="C26" s="217">
        <f t="shared" si="4"/>
        <v>7886592</v>
      </c>
      <c r="D26" s="227">
        <f t="shared" si="5"/>
        <v>1.2</v>
      </c>
      <c r="E26" s="217">
        <f>'Cash Flow &amp; DCF'!L15+$B$4*B26</f>
        <v>16350812.179488774</v>
      </c>
    </row>
    <row r="27" spans="1:8" x14ac:dyDescent="0.2">
      <c r="A27" s="218" t="s">
        <v>1003</v>
      </c>
      <c r="B27" s="221">
        <v>0.3</v>
      </c>
      <c r="C27" s="217">
        <f t="shared" si="4"/>
        <v>8543808</v>
      </c>
      <c r="D27" s="227">
        <f t="shared" si="5"/>
        <v>1.3</v>
      </c>
      <c r="E27" s="217">
        <f>'Cash Flow &amp; DCF'!L15+$B$4*B27</f>
        <v>17008028.179488774</v>
      </c>
    </row>
    <row r="29" spans="1:8" x14ac:dyDescent="0.2">
      <c r="A29" s="140" t="s">
        <v>1004</v>
      </c>
      <c r="B29" s="141"/>
      <c r="C29" s="141"/>
      <c r="D29" s="141"/>
      <c r="E29" s="141"/>
      <c r="F29" s="141"/>
    </row>
    <row r="30" spans="1:8" x14ac:dyDescent="0.2">
      <c r="A30" s="152" t="s">
        <v>1005</v>
      </c>
      <c r="B30" s="152" t="s">
        <v>1006</v>
      </c>
      <c r="C30" s="152" t="s">
        <v>1007</v>
      </c>
      <c r="D30" s="152" t="s">
        <v>1000</v>
      </c>
      <c r="E30" s="152" t="s">
        <v>1008</v>
      </c>
      <c r="F30" s="152" t="s">
        <v>1009</v>
      </c>
    </row>
    <row r="31" spans="1:8" x14ac:dyDescent="0.2">
      <c r="A31" s="218" t="s">
        <v>1010</v>
      </c>
      <c r="B31" s="217">
        <f>$B$5+$B$7*-0.2*0.5+OpEx!F25*-0.2</f>
        <v>3915177.200502309</v>
      </c>
      <c r="C31" s="217">
        <f>$B$5+$B$7*-0.2*0.5+OpEx!F25*-0.1</f>
        <v>2965598.327916069</v>
      </c>
      <c r="D31" s="217">
        <f>$B$5+$B$7*-0.2*0.5+OpEx!F25*0</f>
        <v>2016019.4553298284</v>
      </c>
      <c r="E31" s="217">
        <f>$B$5+$B$7*-0.2*0.5+OpEx!F25*0.1</f>
        <v>1066440.5827435881</v>
      </c>
      <c r="F31" s="217">
        <f>$B$5+$B$7*-0.2*0.5+OpEx!F25*0.2</f>
        <v>116861.71015734784</v>
      </c>
    </row>
    <row r="32" spans="1:8" x14ac:dyDescent="0.2">
      <c r="A32" s="218" t="s">
        <v>1011</v>
      </c>
      <c r="B32" s="217">
        <f>$B$5+$B$7*-0.1*0.5+OpEx!F25*-0.2</f>
        <v>5102150.7912351098</v>
      </c>
      <c r="C32" s="217">
        <f>$B$5+$B$7*-0.1*0.5+OpEx!F25*-0.1</f>
        <v>4152571.9186488688</v>
      </c>
      <c r="D32" s="217">
        <f>$B$5+$B$7*-0.1*0.5+OpEx!F25*0</f>
        <v>3202993.0460626287</v>
      </c>
      <c r="E32" s="217">
        <f>$B$5+$B$7*-0.1*0.5+OpEx!F25*0.1</f>
        <v>2253414.1734763887</v>
      </c>
      <c r="F32" s="217">
        <f>$B$5+$B$7*-0.1*0.5+OpEx!F25*0.2</f>
        <v>1303835.3008901482</v>
      </c>
    </row>
    <row r="33" spans="1:6" x14ac:dyDescent="0.2">
      <c r="A33" s="274" t="s">
        <v>1000</v>
      </c>
      <c r="B33" s="217">
        <f>$B$5+$B$7*0*0.5+OpEx!F25*-0.2</f>
        <v>6289124.3819679096</v>
      </c>
      <c r="C33" s="217">
        <f>$B$5+$B$7*0*0.5+OpEx!F25*-0.1</f>
        <v>5339545.5093816686</v>
      </c>
      <c r="D33" s="276">
        <f>$B$5+$B$7*0*0.5+OpEx!F25*0</f>
        <v>4389966.6367954286</v>
      </c>
      <c r="E33" s="217">
        <f>$B$5+$B$7*0*0.5+OpEx!F25*0.1</f>
        <v>3440387.7642091885</v>
      </c>
      <c r="F33" s="217">
        <f>$B$5+$B$7*0*0.5+OpEx!F25*0.2</f>
        <v>2490808.891622948</v>
      </c>
    </row>
    <row r="34" spans="1:6" x14ac:dyDescent="0.2">
      <c r="A34" s="218" t="s">
        <v>1012</v>
      </c>
      <c r="B34" s="217">
        <f>$B$5+$B$7*0.1*0.5+OpEx!F25*-0.2</f>
        <v>7476097.9727007095</v>
      </c>
      <c r="C34" s="217">
        <f>$B$5+$B$7*0.1*0.5+OpEx!F25*-0.1</f>
        <v>6526519.1001144685</v>
      </c>
      <c r="D34" s="217">
        <f>$B$5+$B$7*0.1*0.5+OpEx!F25*0</f>
        <v>5576940.2275282284</v>
      </c>
      <c r="E34" s="217">
        <f>$B$5+$B$7*0.1*0.5+OpEx!F25*0.1</f>
        <v>4627361.3549419884</v>
      </c>
      <c r="F34" s="217">
        <f>$B$5+$B$7*0.1*0.5+OpEx!F25*0.2</f>
        <v>3677782.4823557478</v>
      </c>
    </row>
    <row r="35" spans="1:6" x14ac:dyDescent="0.2">
      <c r="A35" s="218" t="s">
        <v>1013</v>
      </c>
      <c r="B35" s="217">
        <f>$B$5+$B$7*0.2*0.5+OpEx!F25*-0.2</f>
        <v>8663071.5634335093</v>
      </c>
      <c r="C35" s="217">
        <f>$B$5+$B$7*0.2*0.5+OpEx!F25*-0.1</f>
        <v>7713492.6908472693</v>
      </c>
      <c r="D35" s="217">
        <f>$B$5+$B$7*0.2*0.5+OpEx!F25*0</f>
        <v>6763913.8182610292</v>
      </c>
      <c r="E35" s="217">
        <f>$B$5+$B$7*0.2*0.5+OpEx!F25*0.1</f>
        <v>5814334.9456747891</v>
      </c>
      <c r="F35" s="217">
        <f>$B$5+$B$7*0.2*0.5+OpEx!F25*0.2</f>
        <v>4864756.0730885491</v>
      </c>
    </row>
    <row r="37" spans="1:6" x14ac:dyDescent="0.2">
      <c r="A37" s="144" t="s">
        <v>1014</v>
      </c>
    </row>
    <row r="38" spans="1:6" x14ac:dyDescent="0.2">
      <c r="A38" s="140" t="s">
        <v>1015</v>
      </c>
      <c r="B38" s="141"/>
      <c r="C38" s="141"/>
      <c r="D38" s="141"/>
      <c r="E38" s="141"/>
      <c r="F38" s="141"/>
    </row>
    <row r="39" spans="1:6" x14ac:dyDescent="0.2">
      <c r="A39" s="152" t="s">
        <v>980</v>
      </c>
      <c r="B39" s="152" t="s">
        <v>1016</v>
      </c>
      <c r="C39" s="152" t="s">
        <v>1017</v>
      </c>
      <c r="D39" s="152" t="s">
        <v>1018</v>
      </c>
      <c r="E39" s="152" t="s">
        <v>1019</v>
      </c>
      <c r="F39" s="152" t="s">
        <v>1020</v>
      </c>
    </row>
    <row r="40" spans="1:6" x14ac:dyDescent="0.2">
      <c r="A40" s="274" t="s">
        <v>1021</v>
      </c>
      <c r="B40" s="279" t="s">
        <v>1022</v>
      </c>
      <c r="C40" s="279" t="s">
        <v>1022</v>
      </c>
      <c r="D40" s="276">
        <v>0</v>
      </c>
      <c r="E40" s="276">
        <v>0</v>
      </c>
      <c r="F40" s="144" t="s">
        <v>1023</v>
      </c>
    </row>
    <row r="41" spans="1:6" x14ac:dyDescent="0.2">
      <c r="A41" s="218" t="s">
        <v>1024</v>
      </c>
      <c r="B41" s="280" t="s">
        <v>1025</v>
      </c>
      <c r="C41" s="280" t="s">
        <v>1022</v>
      </c>
      <c r="D41" s="217">
        <f>-'P&amp;L'!D4*0.05</f>
        <v>-892676.92800000019</v>
      </c>
      <c r="E41" s="217">
        <f>-'P&amp;L'!F4*0.05</f>
        <v>-1186973.5907328001</v>
      </c>
      <c r="F41" s="144" t="s">
        <v>1026</v>
      </c>
    </row>
    <row r="42" spans="1:6" x14ac:dyDescent="0.2">
      <c r="A42" s="218" t="s">
        <v>1027</v>
      </c>
      <c r="B42" s="280" t="s">
        <v>1022</v>
      </c>
      <c r="C42" s="280" t="s">
        <v>1028</v>
      </c>
      <c r="D42" s="217">
        <f>'P&amp;L'!D12*0.25</f>
        <v>-175219.20000000001</v>
      </c>
      <c r="E42" s="217">
        <f>'P&amp;L'!F12*0.25</f>
        <v>-189517.08672000002</v>
      </c>
      <c r="F42" s="144" t="s">
        <v>1029</v>
      </c>
    </row>
    <row r="43" spans="1:6" x14ac:dyDescent="0.2">
      <c r="A43" s="218" t="s">
        <v>1030</v>
      </c>
      <c r="B43" s="280" t="s">
        <v>1022</v>
      </c>
      <c r="C43" s="280" t="s">
        <v>1031</v>
      </c>
      <c r="D43" s="217">
        <v>-240000</v>
      </c>
      <c r="E43" s="217">
        <v>-240000</v>
      </c>
      <c r="F43" s="144" t="s">
        <v>1032</v>
      </c>
    </row>
    <row r="44" spans="1:6" x14ac:dyDescent="0.2">
      <c r="A44" s="218" t="s">
        <v>1033</v>
      </c>
      <c r="B44" s="280" t="s">
        <v>1022</v>
      </c>
      <c r="C44" s="280" t="s">
        <v>1034</v>
      </c>
      <c r="D44" s="217">
        <v>120000</v>
      </c>
      <c r="E44" s="217">
        <v>120000</v>
      </c>
      <c r="F44" s="144" t="s">
        <v>1035</v>
      </c>
    </row>
    <row r="45" spans="1:6" x14ac:dyDescent="0.2">
      <c r="A45" s="140" t="s">
        <v>1036</v>
      </c>
      <c r="B45" s="141"/>
      <c r="C45" s="141"/>
      <c r="D45" s="141"/>
    </row>
    <row r="46" spans="1:6" x14ac:dyDescent="0.2">
      <c r="A46" s="149" t="s">
        <v>8</v>
      </c>
      <c r="B46" s="152" t="s">
        <v>78</v>
      </c>
      <c r="C46" s="152" t="s">
        <v>1037</v>
      </c>
      <c r="D46" s="152" t="s">
        <v>79</v>
      </c>
    </row>
    <row r="47" spans="1:6" x14ac:dyDescent="0.2">
      <c r="A47" s="218" t="s">
        <v>80</v>
      </c>
      <c r="B47" s="217">
        <f>-('P&amp;L'!B16+'P&amp;L'!B17+'P&amp;L'!B18+'P&amp;L'!B19)/'P&amp;L'!B8/12</f>
        <v>244505.78128852241</v>
      </c>
      <c r="C47" s="144" t="s">
        <v>81</v>
      </c>
      <c r="D47" s="144" t="s">
        <v>1038</v>
      </c>
    </row>
    <row r="48" spans="1:6" x14ac:dyDescent="0.2">
      <c r="A48" s="218" t="s">
        <v>82</v>
      </c>
      <c r="B48" s="217">
        <f>B47/(Revenue!B13/(Assumptions!D35*Assumptions!B242))</f>
        <v>277.79479630808987</v>
      </c>
      <c r="C48" s="144" t="s">
        <v>1039</v>
      </c>
      <c r="D48" s="144" t="s">
        <v>1040</v>
      </c>
    </row>
    <row r="49" spans="1:5" x14ac:dyDescent="0.2">
      <c r="A49" s="270" t="s">
        <v>84</v>
      </c>
      <c r="B49" s="271">
        <f>B48/(Assumptions!D35/12)</f>
        <v>0.11513378494201337</v>
      </c>
      <c r="C49" s="144" t="s">
        <v>1041</v>
      </c>
      <c r="D49" s="144" t="s">
        <v>1042</v>
      </c>
    </row>
    <row r="50" spans="1:5" x14ac:dyDescent="0.2">
      <c r="A50" s="218" t="s">
        <v>86</v>
      </c>
      <c r="B50" s="272">
        <f>IFERROR(MATCH(1,INDEX(('Monthly P&amp;L'!B18:M18&gt;0)*1,,),0),"&gt;12")</f>
        <v>9</v>
      </c>
      <c r="C50" s="144" t="s">
        <v>1043</v>
      </c>
      <c r="D50" s="144" t="s">
        <v>1044</v>
      </c>
    </row>
    <row r="51" spans="1:5" x14ac:dyDescent="0.2">
      <c r="A51" s="218" t="s">
        <v>88</v>
      </c>
      <c r="B51" s="272">
        <f>IF(COUNTIF('Cash Flow &amp; DCF'!C8:L8,"&gt;0")=0,"N/A",(MATCH(1,INDEX(('Cash Flow &amp; DCF'!C8:L8&gt;0)*1,,),0)-1)*12+(-INDEX('Cash Flow &amp; DCF'!B8:K8,MATCH(1,INDEX(('Cash Flow &amp; DCF'!C8:L8&gt;0)*1,,),0)))/(INDEX('Cash Flow &amp; DCF'!C8:L8,MATCH(1,INDEX(('Cash Flow &amp; DCF'!C8:L8&gt;0)*1,,),0))-INDEX('Cash Flow &amp; DCF'!B8:K8,MATCH(1,INDEX(('Cash Flow &amp; DCF'!C8:L8&gt;0)*1,,),0)))*12)</f>
        <v>48.518845782313505</v>
      </c>
      <c r="C51" s="144" t="s">
        <v>89</v>
      </c>
      <c r="D51" s="144" t="s">
        <v>1045</v>
      </c>
    </row>
    <row r="53" spans="1:5" x14ac:dyDescent="0.2">
      <c r="A53" s="140" t="s">
        <v>1046</v>
      </c>
      <c r="B53" s="141"/>
      <c r="C53" s="141"/>
      <c r="D53" s="141"/>
      <c r="E53" s="141"/>
    </row>
    <row r="54" spans="1:5" x14ac:dyDescent="0.2">
      <c r="A54" s="149" t="s">
        <v>8</v>
      </c>
      <c r="B54" s="152" t="s">
        <v>92</v>
      </c>
      <c r="C54" s="152" t="s">
        <v>93</v>
      </c>
      <c r="D54" s="152" t="s">
        <v>1047</v>
      </c>
      <c r="E54" s="152" t="s">
        <v>79</v>
      </c>
    </row>
    <row r="55" spans="1:5" x14ac:dyDescent="0.2">
      <c r="A55" s="218" t="s">
        <v>95</v>
      </c>
      <c r="B55" s="217">
        <v>0</v>
      </c>
      <c r="C55" s="217">
        <f>Revenue!B13*Assumptions!$B$123</f>
        <v>535164</v>
      </c>
      <c r="D55" s="217">
        <f>B55-C55</f>
        <v>-535164</v>
      </c>
      <c r="E55" s="144" t="s">
        <v>1048</v>
      </c>
    </row>
    <row r="56" spans="1:5" x14ac:dyDescent="0.2">
      <c r="A56" s="218" t="s">
        <v>96</v>
      </c>
      <c r="B56" s="217">
        <v>0</v>
      </c>
      <c r="C56" s="217">
        <f>Revenue!F13*Assumptions!$B$123*(1+Assumptions!$B$124)^4</f>
        <v>1695248.3839406066</v>
      </c>
      <c r="D56" s="217">
        <f>B56-C56</f>
        <v>-1695248.3839406066</v>
      </c>
      <c r="E56" s="144" t="s">
        <v>1049</v>
      </c>
    </row>
    <row r="57" spans="1:5" x14ac:dyDescent="0.2">
      <c r="A57" s="218" t="s">
        <v>1050</v>
      </c>
      <c r="B57" s="217">
        <v>0</v>
      </c>
      <c r="C57" s="217">
        <f>-C55</f>
        <v>-535164</v>
      </c>
      <c r="D57" s="217">
        <f>B57-C57</f>
        <v>535164</v>
      </c>
      <c r="E57" s="144" t="s">
        <v>1051</v>
      </c>
    </row>
    <row r="58" spans="1:5" x14ac:dyDescent="0.2">
      <c r="A58" s="270" t="s">
        <v>97</v>
      </c>
      <c r="B58" s="273">
        <v>0</v>
      </c>
      <c r="C58" s="273">
        <f>SUM(Revenue!B13:K13)*Assumptions!$B$123*1.025</f>
        <v>17415784.311693348</v>
      </c>
      <c r="D58" s="273">
        <f>B58-C58</f>
        <v>-17415784.311693348</v>
      </c>
      <c r="E58" s="144" t="s">
        <v>1052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0"/>
  <sheetViews>
    <sheetView topLeftCell="A33" zoomScale="166" zoomScaleNormal="100" workbookViewId="0">
      <selection activeCell="B55" sqref="B55"/>
    </sheetView>
  </sheetViews>
  <sheetFormatPr baseColWidth="10" defaultColWidth="8.6640625" defaultRowHeight="15" outlineLevelRow="1" x14ac:dyDescent="0.2"/>
  <cols>
    <col min="1" max="1" width="39.83203125" customWidth="1"/>
    <col min="2" max="13" width="14" customWidth="1"/>
  </cols>
  <sheetData>
    <row r="1" spans="1:13" ht="17.25" hidden="1" customHeight="1" outlineLevel="1" x14ac:dyDescent="0.2">
      <c r="A1" s="265" t="s">
        <v>1053</v>
      </c>
    </row>
    <row r="2" spans="1:13" hidden="1" outlineLevel="1" x14ac:dyDescent="0.2"/>
    <row r="3" spans="1:13" ht="15" hidden="1" customHeight="1" outlineLevel="1" x14ac:dyDescent="0.2">
      <c r="A3" s="238" t="s">
        <v>1054</v>
      </c>
    </row>
    <row r="4" spans="1:13" ht="15" hidden="1" customHeight="1" outlineLevel="1" x14ac:dyDescent="0.2">
      <c r="A4" s="244" t="s">
        <v>8</v>
      </c>
      <c r="B4" s="244" t="s">
        <v>1055</v>
      </c>
      <c r="C4" s="244" t="s">
        <v>1056</v>
      </c>
      <c r="D4" s="244" t="s">
        <v>1057</v>
      </c>
      <c r="E4" s="244" t="s">
        <v>1058</v>
      </c>
      <c r="F4" s="244" t="s">
        <v>1059</v>
      </c>
      <c r="G4" s="244" t="s">
        <v>1060</v>
      </c>
      <c r="H4" s="244" t="s">
        <v>1061</v>
      </c>
      <c r="I4" s="244" t="s">
        <v>1062</v>
      </c>
      <c r="J4" s="244" t="s">
        <v>1063</v>
      </c>
      <c r="K4" s="244" t="s">
        <v>1064</v>
      </c>
      <c r="L4" s="244" t="s">
        <v>417</v>
      </c>
      <c r="M4" s="244" t="s">
        <v>418</v>
      </c>
    </row>
    <row r="5" spans="1:13" ht="15" hidden="1" customHeight="1" outlineLevel="1" x14ac:dyDescent="0.2">
      <c r="A5" s="222" t="s">
        <v>1065</v>
      </c>
      <c r="B5" s="239">
        <f>Assumptions!$D$35/12</f>
        <v>2412.8000000000002</v>
      </c>
      <c r="C5" s="239">
        <f>Assumptions!$D$35/12</f>
        <v>2412.8000000000002</v>
      </c>
      <c r="D5" s="239">
        <f>Assumptions!$D$35/12</f>
        <v>2412.8000000000002</v>
      </c>
      <c r="E5" s="239">
        <f>Assumptions!$D$35/12</f>
        <v>2412.8000000000002</v>
      </c>
      <c r="F5" s="239">
        <f>Assumptions!$D$35/12</f>
        <v>2412.8000000000002</v>
      </c>
      <c r="G5" s="239">
        <f>Assumptions!$D$35/12</f>
        <v>2412.8000000000002</v>
      </c>
      <c r="H5" s="239">
        <f>Assumptions!$D$35/12</f>
        <v>2412.8000000000002</v>
      </c>
      <c r="I5" s="239">
        <f>Assumptions!$D$35/12</f>
        <v>2412.8000000000002</v>
      </c>
      <c r="J5" s="239">
        <f>Assumptions!$D$35/12</f>
        <v>2412.8000000000002</v>
      </c>
      <c r="K5" s="239">
        <f>Assumptions!$D$35/12</f>
        <v>2412.8000000000002</v>
      </c>
      <c r="L5" s="239">
        <f>Assumptions!$D$35/12</f>
        <v>2412.8000000000002</v>
      </c>
      <c r="M5" s="239">
        <f>Assumptions!$D$35/12</f>
        <v>2412.8000000000002</v>
      </c>
    </row>
    <row r="6" spans="1:13" ht="15" hidden="1" customHeight="1" outlineLevel="1" x14ac:dyDescent="0.2">
      <c r="A6" s="47" t="s">
        <v>1066</v>
      </c>
      <c r="B6" s="122">
        <f>B5*Assumptions!$B$155*1/12</f>
        <v>60.32</v>
      </c>
      <c r="C6" s="122">
        <f>C5*Assumptions!$B$155*2/12</f>
        <v>120.64</v>
      </c>
      <c r="D6" s="122">
        <f>D5*Assumptions!$B$155*3/12</f>
        <v>180.96</v>
      </c>
      <c r="E6" s="122">
        <f>E5*Assumptions!$B$155*4/12</f>
        <v>241.28</v>
      </c>
      <c r="F6" s="122">
        <f>F5*Assumptions!$B$155*5/12</f>
        <v>301.60000000000002</v>
      </c>
      <c r="G6" s="122">
        <f>G5*Assumptions!$B$155*6/12</f>
        <v>361.92</v>
      </c>
      <c r="H6" s="122">
        <f>H5*Assumptions!$B$155*7/12</f>
        <v>422.24</v>
      </c>
      <c r="I6" s="122">
        <f>I5*Assumptions!$B$155*8/12</f>
        <v>482.56</v>
      </c>
      <c r="J6" s="122">
        <f>J5*Assumptions!$B$155*9/12</f>
        <v>542.88</v>
      </c>
      <c r="K6" s="122">
        <f>K5*Assumptions!$B$155*10/12</f>
        <v>603.20000000000005</v>
      </c>
      <c r="L6" s="122">
        <f>L5*Assumptions!$B$155*11/12</f>
        <v>663.5200000000001</v>
      </c>
      <c r="M6" s="122">
        <f>M5*Assumptions!$B$155*12/12</f>
        <v>723.84</v>
      </c>
    </row>
    <row r="7" spans="1:13" ht="15" hidden="1" customHeight="1" outlineLevel="1" x14ac:dyDescent="0.2">
      <c r="A7" s="222" t="s">
        <v>1067</v>
      </c>
      <c r="B7" s="239">
        <f t="shared" ref="B7:M7" si="0">B6</f>
        <v>60.32</v>
      </c>
      <c r="C7" s="239">
        <f t="shared" si="0"/>
        <v>120.64</v>
      </c>
      <c r="D7" s="239">
        <f t="shared" si="0"/>
        <v>180.96</v>
      </c>
      <c r="E7" s="239">
        <f t="shared" si="0"/>
        <v>241.28</v>
      </c>
      <c r="F7" s="239">
        <f t="shared" si="0"/>
        <v>301.60000000000002</v>
      </c>
      <c r="G7" s="239">
        <f t="shared" si="0"/>
        <v>361.92</v>
      </c>
      <c r="H7" s="239">
        <f t="shared" si="0"/>
        <v>422.24</v>
      </c>
      <c r="I7" s="239">
        <f t="shared" si="0"/>
        <v>482.56</v>
      </c>
      <c r="J7" s="239">
        <f t="shared" si="0"/>
        <v>542.88</v>
      </c>
      <c r="K7" s="239">
        <f t="shared" si="0"/>
        <v>603.20000000000005</v>
      </c>
      <c r="L7" s="239">
        <f t="shared" si="0"/>
        <v>663.5200000000001</v>
      </c>
      <c r="M7" s="239">
        <f t="shared" si="0"/>
        <v>723.84</v>
      </c>
    </row>
    <row r="8" spans="1:13" ht="15" hidden="1" customHeight="1" outlineLevel="1" x14ac:dyDescent="0.2">
      <c r="A8" s="100" t="s">
        <v>1068</v>
      </c>
      <c r="B8" s="123">
        <f t="shared" ref="B8:M8" si="1">MAX(0,B7-B6)</f>
        <v>0</v>
      </c>
      <c r="C8" s="123">
        <f t="shared" si="1"/>
        <v>0</v>
      </c>
      <c r="D8" s="123">
        <f t="shared" si="1"/>
        <v>0</v>
      </c>
      <c r="E8" s="123">
        <f t="shared" si="1"/>
        <v>0</v>
      </c>
      <c r="F8" s="123">
        <f t="shared" si="1"/>
        <v>0</v>
      </c>
      <c r="G8" s="123">
        <f t="shared" si="1"/>
        <v>0</v>
      </c>
      <c r="H8" s="123">
        <f t="shared" si="1"/>
        <v>0</v>
      </c>
      <c r="I8" s="123">
        <f t="shared" si="1"/>
        <v>0</v>
      </c>
      <c r="J8" s="123">
        <f t="shared" si="1"/>
        <v>0</v>
      </c>
      <c r="K8" s="123">
        <f t="shared" si="1"/>
        <v>0</v>
      </c>
      <c r="L8" s="123">
        <f t="shared" si="1"/>
        <v>0</v>
      </c>
      <c r="M8" s="123">
        <f t="shared" si="1"/>
        <v>0</v>
      </c>
    </row>
    <row r="9" spans="1:13" ht="15" hidden="1" customHeight="1" outlineLevel="1" x14ac:dyDescent="0.2">
      <c r="A9" s="26" t="s">
        <v>1069</v>
      </c>
      <c r="B9" s="27">
        <f t="shared" ref="B9:M9" si="2">B6+B8</f>
        <v>60.32</v>
      </c>
      <c r="C9" s="27">
        <f t="shared" si="2"/>
        <v>120.64</v>
      </c>
      <c r="D9" s="27">
        <f t="shared" si="2"/>
        <v>180.96</v>
      </c>
      <c r="E9" s="27">
        <f t="shared" si="2"/>
        <v>241.28</v>
      </c>
      <c r="F9" s="27">
        <f t="shared" si="2"/>
        <v>301.60000000000002</v>
      </c>
      <c r="G9" s="27">
        <f t="shared" si="2"/>
        <v>361.92</v>
      </c>
      <c r="H9" s="27">
        <f t="shared" si="2"/>
        <v>422.24</v>
      </c>
      <c r="I9" s="27">
        <f t="shared" si="2"/>
        <v>482.56</v>
      </c>
      <c r="J9" s="27">
        <f t="shared" si="2"/>
        <v>542.88</v>
      </c>
      <c r="K9" s="27">
        <f t="shared" si="2"/>
        <v>603.20000000000005</v>
      </c>
      <c r="L9" s="27">
        <f t="shared" si="2"/>
        <v>663.5200000000001</v>
      </c>
      <c r="M9" s="27">
        <f t="shared" si="2"/>
        <v>723.84</v>
      </c>
    </row>
    <row r="10" spans="1:13" ht="15" hidden="1" customHeight="1" outlineLevel="1" x14ac:dyDescent="0.2">
      <c r="A10" s="222" t="s">
        <v>1070</v>
      </c>
      <c r="B10" s="245">
        <f t="shared" ref="B10:M10" si="3">B9/B5</f>
        <v>2.4999999999999998E-2</v>
      </c>
      <c r="C10" s="245">
        <f t="shared" si="3"/>
        <v>4.9999999999999996E-2</v>
      </c>
      <c r="D10" s="245">
        <f t="shared" si="3"/>
        <v>7.4999999999999997E-2</v>
      </c>
      <c r="E10" s="245">
        <f t="shared" si="3"/>
        <v>9.9999999999999992E-2</v>
      </c>
      <c r="F10" s="245">
        <f t="shared" si="3"/>
        <v>0.125</v>
      </c>
      <c r="G10" s="245">
        <f t="shared" si="3"/>
        <v>0.15</v>
      </c>
      <c r="H10" s="245">
        <f t="shared" si="3"/>
        <v>0.17499999999999999</v>
      </c>
      <c r="I10" s="245">
        <f t="shared" si="3"/>
        <v>0.19999999999999998</v>
      </c>
      <c r="J10" s="245">
        <f t="shared" si="3"/>
        <v>0.22499999999999998</v>
      </c>
      <c r="K10" s="245">
        <f t="shared" si="3"/>
        <v>0.25</v>
      </c>
      <c r="L10" s="245">
        <f t="shared" si="3"/>
        <v>0.27500000000000002</v>
      </c>
      <c r="M10" s="245">
        <f t="shared" si="3"/>
        <v>0.3</v>
      </c>
    </row>
    <row r="11" spans="1:13" hidden="1" outlineLevel="1" x14ac:dyDescent="0.2"/>
    <row r="12" spans="1:13" ht="15" hidden="1" customHeight="1" outlineLevel="1" x14ac:dyDescent="0.2">
      <c r="A12" s="238" t="s">
        <v>1071</v>
      </c>
    </row>
    <row r="13" spans="1:13" ht="15" hidden="1" customHeight="1" outlineLevel="1" x14ac:dyDescent="0.2">
      <c r="A13" s="244" t="s">
        <v>8</v>
      </c>
      <c r="B13" s="244" t="s">
        <v>1055</v>
      </c>
      <c r="C13" s="244" t="s">
        <v>1056</v>
      </c>
      <c r="D13" s="244" t="s">
        <v>1057</v>
      </c>
      <c r="E13" s="244" t="s">
        <v>1058</v>
      </c>
      <c r="F13" s="244" t="s">
        <v>1059</v>
      </c>
      <c r="G13" s="244" t="s">
        <v>1060</v>
      </c>
      <c r="H13" s="244" t="s">
        <v>1061</v>
      </c>
      <c r="I13" s="244" t="s">
        <v>1062</v>
      </c>
      <c r="J13" s="244" t="s">
        <v>1063</v>
      </c>
      <c r="K13" s="244" t="s">
        <v>1064</v>
      </c>
      <c r="L13" s="244" t="s">
        <v>417</v>
      </c>
      <c r="M13" s="244" t="s">
        <v>418</v>
      </c>
    </row>
    <row r="14" spans="1:13" ht="15" hidden="1" customHeight="1" outlineLevel="1" x14ac:dyDescent="0.2">
      <c r="A14" s="222" t="s">
        <v>1072</v>
      </c>
      <c r="B14" s="223">
        <f>1000/Assumptions!$B$153</f>
        <v>1250</v>
      </c>
      <c r="C14" s="223">
        <f>1000/Assumptions!$B$153</f>
        <v>1250</v>
      </c>
      <c r="D14" s="223">
        <f>1000/Assumptions!$B$153</f>
        <v>1250</v>
      </c>
      <c r="E14" s="223">
        <f>1000/Assumptions!$B$153</f>
        <v>1250</v>
      </c>
      <c r="F14" s="223">
        <f>1000/Assumptions!$B$153</f>
        <v>1250</v>
      </c>
      <c r="G14" s="223">
        <f>1000/Assumptions!$B$153</f>
        <v>1250</v>
      </c>
      <c r="H14" s="223">
        <f>1000/Assumptions!$B$153</f>
        <v>1250</v>
      </c>
      <c r="I14" s="223">
        <f>1000/Assumptions!$B$153</f>
        <v>1250</v>
      </c>
      <c r="J14" s="223">
        <f>1000/Assumptions!$B$153</f>
        <v>1250</v>
      </c>
      <c r="K14" s="223">
        <f>1000/Assumptions!$B$153</f>
        <v>1250</v>
      </c>
      <c r="L14" s="223">
        <f>1000/Assumptions!$B$153</f>
        <v>1250</v>
      </c>
      <c r="M14" s="223">
        <f>1000/Assumptions!$B$153</f>
        <v>1250</v>
      </c>
    </row>
    <row r="15" spans="1:13" ht="15" hidden="1" customHeight="1" outlineLevel="1" x14ac:dyDescent="0.2">
      <c r="A15" s="222" t="s">
        <v>1073</v>
      </c>
      <c r="B15" s="223">
        <f t="shared" ref="B15:M15" si="4">B8*B14</f>
        <v>0</v>
      </c>
      <c r="C15" s="223">
        <f t="shared" si="4"/>
        <v>0</v>
      </c>
      <c r="D15" s="223">
        <f t="shared" si="4"/>
        <v>0</v>
      </c>
      <c r="E15" s="223">
        <f t="shared" si="4"/>
        <v>0</v>
      </c>
      <c r="F15" s="223">
        <f t="shared" si="4"/>
        <v>0</v>
      </c>
      <c r="G15" s="223">
        <f t="shared" si="4"/>
        <v>0</v>
      </c>
      <c r="H15" s="223">
        <f t="shared" si="4"/>
        <v>0</v>
      </c>
      <c r="I15" s="223">
        <f t="shared" si="4"/>
        <v>0</v>
      </c>
      <c r="J15" s="223">
        <f t="shared" si="4"/>
        <v>0</v>
      </c>
      <c r="K15" s="223">
        <f t="shared" si="4"/>
        <v>0</v>
      </c>
      <c r="L15" s="223">
        <f t="shared" si="4"/>
        <v>0</v>
      </c>
      <c r="M15" s="223">
        <f t="shared" si="4"/>
        <v>0</v>
      </c>
    </row>
    <row r="16" spans="1:13" ht="15" hidden="1" customHeight="1" outlineLevel="1" x14ac:dyDescent="0.2">
      <c r="A16" s="222" t="s">
        <v>1074</v>
      </c>
      <c r="B16" s="223">
        <f>Assumptions!$B$91/12</f>
        <v>36000</v>
      </c>
      <c r="C16" s="223">
        <f>Assumptions!$B$91/12</f>
        <v>36000</v>
      </c>
      <c r="D16" s="223">
        <f>Assumptions!$B$91/12</f>
        <v>36000</v>
      </c>
      <c r="E16" s="223">
        <f>Assumptions!$B$91/12</f>
        <v>36000</v>
      </c>
      <c r="F16" s="223">
        <f>Assumptions!$B$91/12</f>
        <v>36000</v>
      </c>
      <c r="G16" s="223">
        <f>Assumptions!$B$91/12</f>
        <v>36000</v>
      </c>
      <c r="H16" s="223">
        <f>Assumptions!$B$91/12</f>
        <v>36000</v>
      </c>
      <c r="I16" s="223">
        <f>Assumptions!$B$91/12</f>
        <v>36000</v>
      </c>
      <c r="J16" s="223">
        <f>Assumptions!$B$91/12</f>
        <v>36000</v>
      </c>
      <c r="K16" s="223">
        <f>Assumptions!$B$91/12</f>
        <v>36000</v>
      </c>
      <c r="L16" s="223">
        <f>Assumptions!$B$91/12</f>
        <v>36000</v>
      </c>
      <c r="M16" s="223">
        <f>Assumptions!$B$91/12</f>
        <v>36000</v>
      </c>
    </row>
    <row r="17" spans="1:13" ht="15" hidden="1" customHeight="1" outlineLevel="1" x14ac:dyDescent="0.2">
      <c r="A17" s="26" t="s">
        <v>1075</v>
      </c>
      <c r="B17" s="37">
        <f t="shared" ref="B17:M17" si="5">B15+B16</f>
        <v>36000</v>
      </c>
      <c r="C17" s="37">
        <f t="shared" si="5"/>
        <v>36000</v>
      </c>
      <c r="D17" s="37">
        <f t="shared" si="5"/>
        <v>36000</v>
      </c>
      <c r="E17" s="37">
        <f t="shared" si="5"/>
        <v>36000</v>
      </c>
      <c r="F17" s="37">
        <f t="shared" si="5"/>
        <v>36000</v>
      </c>
      <c r="G17" s="37">
        <f t="shared" si="5"/>
        <v>36000</v>
      </c>
      <c r="H17" s="37">
        <f t="shared" si="5"/>
        <v>36000</v>
      </c>
      <c r="I17" s="37">
        <f t="shared" si="5"/>
        <v>36000</v>
      </c>
      <c r="J17" s="37">
        <f t="shared" si="5"/>
        <v>36000</v>
      </c>
      <c r="K17" s="37">
        <f t="shared" si="5"/>
        <v>36000</v>
      </c>
      <c r="L17" s="37">
        <f t="shared" si="5"/>
        <v>36000</v>
      </c>
      <c r="M17" s="37">
        <f t="shared" si="5"/>
        <v>36000</v>
      </c>
    </row>
    <row r="18" spans="1:13" ht="15" hidden="1" customHeight="1" outlineLevel="1" x14ac:dyDescent="0.2">
      <c r="A18" s="222" t="s">
        <v>1076</v>
      </c>
    </row>
    <row r="19" spans="1:13" ht="15" customHeight="1" collapsed="1" x14ac:dyDescent="0.2">
      <c r="A19" s="238" t="s">
        <v>1077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90"/>
    </row>
    <row r="20" spans="1:13" ht="15" customHeight="1" x14ac:dyDescent="0.2">
      <c r="A20" s="21" t="s">
        <v>8</v>
      </c>
      <c r="B20" s="22" t="s">
        <v>23</v>
      </c>
      <c r="C20" s="22" t="s">
        <v>24</v>
      </c>
      <c r="D20" s="22" t="s">
        <v>25</v>
      </c>
      <c r="E20" s="22" t="s">
        <v>26</v>
      </c>
      <c r="F20" s="22" t="s">
        <v>27</v>
      </c>
      <c r="G20" s="22" t="s">
        <v>28</v>
      </c>
      <c r="H20" s="22" t="s">
        <v>29</v>
      </c>
      <c r="I20" s="22" t="s">
        <v>30</v>
      </c>
      <c r="J20" s="22" t="s">
        <v>31</v>
      </c>
      <c r="K20" s="22" t="s">
        <v>32</v>
      </c>
      <c r="L20" s="190"/>
    </row>
    <row r="21" spans="1:13" ht="15" customHeight="1" x14ac:dyDescent="0.2">
      <c r="A21" s="222" t="s">
        <v>1078</v>
      </c>
      <c r="B21" s="124">
        <f>Assumptions!B190</f>
        <v>28953.600000000002</v>
      </c>
      <c r="C21" s="124">
        <f>Assumptions!C190</f>
        <v>30310.799999999999</v>
      </c>
      <c r="D21" s="124">
        <f>Assumptions!D190</f>
        <v>31668</v>
      </c>
      <c r="E21" s="124">
        <f>Assumptions!E190</f>
        <v>38001.600000000006</v>
      </c>
      <c r="F21" s="124">
        <f>Assumptions!F190</f>
        <v>41620.799999999996</v>
      </c>
      <c r="G21" s="124">
        <f>Assumptions!G190</f>
        <v>44335.199999999997</v>
      </c>
      <c r="H21" s="124">
        <f>Assumptions!H190</f>
        <v>49311.600000000006</v>
      </c>
      <c r="I21" s="124">
        <f>Assumptions!I190</f>
        <v>50668.800000000003</v>
      </c>
      <c r="J21" s="124">
        <f>Assumptions!J190</f>
        <v>50668.800000000003</v>
      </c>
      <c r="K21" s="124">
        <f>Assumptions!K190</f>
        <v>50668.800000000003</v>
      </c>
      <c r="L21" s="190"/>
    </row>
    <row r="22" spans="1:13" ht="15" customHeight="1" x14ac:dyDescent="0.2">
      <c r="A22" s="266" t="s">
        <v>1079</v>
      </c>
      <c r="B22" s="267">
        <f>Assumptions!B231</f>
        <v>12741.56</v>
      </c>
      <c r="C22" s="267">
        <f>Assumptions!C231</f>
        <v>20197.319999999996</v>
      </c>
      <c r="D22" s="267">
        <f>Assumptions!D231</f>
        <v>27653.079999999994</v>
      </c>
      <c r="E22" s="267">
        <f>Assumptions!E231</f>
        <v>30824.559999999994</v>
      </c>
      <c r="F22" s="267">
        <f>Assumptions!F231</f>
        <v>33996.039999999994</v>
      </c>
      <c r="G22" s="267">
        <f>Assumptions!G231</f>
        <v>38280.319999999992</v>
      </c>
      <c r="H22" s="267">
        <f>Assumptions!H231</f>
        <v>42508.959999999992</v>
      </c>
      <c r="I22" s="267">
        <f>Assumptions!I231</f>
        <v>42508.959999999985</v>
      </c>
      <c r="J22" s="267">
        <f>Assumptions!J231</f>
        <v>42508.959999999992</v>
      </c>
      <c r="K22" s="267">
        <f>Assumptions!K231</f>
        <v>42508.959999999992</v>
      </c>
      <c r="L22" s="190"/>
    </row>
    <row r="23" spans="1:13" ht="15" customHeight="1" x14ac:dyDescent="0.2">
      <c r="A23" s="222" t="s">
        <v>1080</v>
      </c>
      <c r="B23" s="245">
        <f t="shared" ref="B23:K23" si="6">B22/B21</f>
        <v>0.44006824712643672</v>
      </c>
      <c r="C23" s="245">
        <f t="shared" si="6"/>
        <v>0.6663407102418939</v>
      </c>
      <c r="D23" s="245">
        <f t="shared" si="6"/>
        <v>0.87321839080459751</v>
      </c>
      <c r="E23" s="245">
        <f t="shared" si="6"/>
        <v>0.81113847837985742</v>
      </c>
      <c r="F23" s="245">
        <f t="shared" si="6"/>
        <v>0.81680409795102438</v>
      </c>
      <c r="G23" s="245">
        <f t="shared" si="6"/>
        <v>0.86342950973492838</v>
      </c>
      <c r="H23" s="245">
        <f t="shared" si="6"/>
        <v>0.86204787514499603</v>
      </c>
      <c r="I23" s="245">
        <f t="shared" si="6"/>
        <v>0.838957307060755</v>
      </c>
      <c r="J23" s="245">
        <f t="shared" si="6"/>
        <v>0.83895730706075511</v>
      </c>
      <c r="K23" s="245">
        <f t="shared" si="6"/>
        <v>0.83895730706075511</v>
      </c>
      <c r="L23" s="193"/>
    </row>
    <row r="24" spans="1:13" ht="15" customHeight="1" x14ac:dyDescent="0.2">
      <c r="A24" s="193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0"/>
    </row>
    <row r="25" spans="1:13" ht="15" customHeight="1" x14ac:dyDescent="0.2">
      <c r="A25" s="96" t="s">
        <v>1081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90"/>
    </row>
    <row r="26" spans="1:13" ht="15" customHeight="1" x14ac:dyDescent="0.2">
      <c r="A26" s="266" t="s">
        <v>1082</v>
      </c>
      <c r="B26" s="267">
        <f>Assumptions!B230</f>
        <v>2071.7983739837396</v>
      </c>
      <c r="C26" s="267">
        <f>Assumptions!C230</f>
        <v>3284.1170731707307</v>
      </c>
      <c r="D26" s="267">
        <f>Assumptions!D230</f>
        <v>4496.4357723577223</v>
      </c>
      <c r="E26" s="267">
        <f>Assumptions!E230</f>
        <v>5012.1235772357713</v>
      </c>
      <c r="F26" s="267">
        <f>Assumptions!F230</f>
        <v>5527.8113821138195</v>
      </c>
      <c r="G26" s="267">
        <f>Assumptions!G230</f>
        <v>6224.4422764227629</v>
      </c>
      <c r="H26" s="267">
        <f>Assumptions!H230</f>
        <v>6912.0260162601608</v>
      </c>
      <c r="I26" s="267">
        <f>Assumptions!I230</f>
        <v>6912.0260162601598</v>
      </c>
      <c r="J26" s="267">
        <f>Assumptions!J230</f>
        <v>6912.0260162601608</v>
      </c>
      <c r="K26" s="267">
        <f>Assumptions!K230</f>
        <v>6912.0260162601608</v>
      </c>
      <c r="L26" s="190"/>
    </row>
    <row r="27" spans="1:13" ht="15" customHeight="1" x14ac:dyDescent="0.2">
      <c r="A27" s="47" t="s">
        <v>1083</v>
      </c>
      <c r="B27" s="122">
        <f>Assumptions!B226</f>
        <v>0</v>
      </c>
      <c r="C27" s="122">
        <f>Assumptions!C226</f>
        <v>907.447687804878</v>
      </c>
      <c r="D27" s="122">
        <f>Assumptions!D226</f>
        <v>1481.1367999999998</v>
      </c>
      <c r="E27" s="122">
        <f>Assumptions!E226</f>
        <v>2086.346198373983</v>
      </c>
      <c r="F27" s="122">
        <f>Assumptions!F226</f>
        <v>2390.7829463414628</v>
      </c>
      <c r="G27" s="122">
        <f>Assumptions!G226</f>
        <v>2708.6275772357722</v>
      </c>
      <c r="H27" s="122">
        <f>Assumptions!H226</f>
        <v>3093.0204915214858</v>
      </c>
      <c r="I27" s="122">
        <f>Assumptions!I226</f>
        <v>3382.4001895470383</v>
      </c>
      <c r="J27" s="122">
        <f>Assumptions!J226</f>
        <v>3467.278007897793</v>
      </c>
      <c r="K27" s="122">
        <f>Assumptions!K226</f>
        <v>3552.1558262485482</v>
      </c>
      <c r="L27" s="190"/>
    </row>
    <row r="28" spans="1:13" ht="15" customHeight="1" x14ac:dyDescent="0.2">
      <c r="A28" s="222" t="s">
        <v>1084</v>
      </c>
      <c r="B28" s="239">
        <f>Assumptions!B227</f>
        <v>0</v>
      </c>
      <c r="C28" s="239">
        <f>Assumptions!C227</f>
        <v>326.68116760975607</v>
      </c>
      <c r="D28" s="239">
        <f>Assumptions!D227</f>
        <v>533.20924799999989</v>
      </c>
      <c r="E28" s="239">
        <f>Assumptions!E227</f>
        <v>751.0846314146338</v>
      </c>
      <c r="F28" s="239">
        <f>Assumptions!F227</f>
        <v>860.68186068292664</v>
      </c>
      <c r="G28" s="239">
        <f>Assumptions!G227</f>
        <v>975.10592780487787</v>
      </c>
      <c r="H28" s="239">
        <f>Assumptions!H227</f>
        <v>1113.4873769477349</v>
      </c>
      <c r="I28" s="239">
        <f>Assumptions!I227</f>
        <v>1217.6640682369339</v>
      </c>
      <c r="J28" s="239">
        <f>Assumptions!J227</f>
        <v>1248.2200828432053</v>
      </c>
      <c r="K28" s="239">
        <f>Assumptions!K227</f>
        <v>1278.7760974494772</v>
      </c>
      <c r="L28" s="190"/>
    </row>
    <row r="29" spans="1:13" ht="15" customHeight="1" x14ac:dyDescent="0.2">
      <c r="A29" s="126" t="s">
        <v>1085</v>
      </c>
      <c r="B29" s="127">
        <f>Assumptions!B228</f>
        <v>820</v>
      </c>
      <c r="C29" s="127">
        <f>Assumptions!C228</f>
        <v>990.15</v>
      </c>
      <c r="D29" s="127">
        <f>Assumptions!D228</f>
        <v>1039.6575</v>
      </c>
      <c r="E29" s="127">
        <f>Assumptions!E228</f>
        <v>1091.6403750000002</v>
      </c>
      <c r="F29" s="127">
        <f>Assumptions!F228</f>
        <v>1146.2223937500003</v>
      </c>
      <c r="G29" s="127">
        <f>Assumptions!G228</f>
        <v>1203.5335134375002</v>
      </c>
      <c r="H29" s="127">
        <f>Assumptions!H228</f>
        <v>1263.7101891093753</v>
      </c>
      <c r="I29" s="127">
        <f>Assumptions!I228</f>
        <v>1326.895698564844</v>
      </c>
      <c r="J29" s="127">
        <f>Assumptions!J228</f>
        <v>1393.2404834930862</v>
      </c>
      <c r="K29" s="127">
        <f>Assumptions!K228</f>
        <v>1462.9025076677406</v>
      </c>
      <c r="L29" s="190"/>
    </row>
    <row r="30" spans="1:13" ht="15" customHeight="1" x14ac:dyDescent="0.2">
      <c r="A30" s="43" t="s">
        <v>1086</v>
      </c>
      <c r="B30" s="44">
        <f>Assumptions!B229</f>
        <v>1251.7983739837396</v>
      </c>
      <c r="C30" s="44">
        <f>Assumptions!C229</f>
        <v>1059.8382177560966</v>
      </c>
      <c r="D30" s="44">
        <f>Assumptions!D229</f>
        <v>1442.4322243577228</v>
      </c>
      <c r="E30" s="44">
        <f>Assumptions!E229</f>
        <v>1083.0523724471543</v>
      </c>
      <c r="F30" s="44">
        <f>Assumptions!F229</f>
        <v>1130.1241813394299</v>
      </c>
      <c r="G30" s="44">
        <f>Assumptions!G229</f>
        <v>1337.1752579446127</v>
      </c>
      <c r="H30" s="44">
        <f>Assumptions!H229</f>
        <v>1441.8079586815647</v>
      </c>
      <c r="I30" s="44">
        <f>Assumptions!I229</f>
        <v>985.06605991134461</v>
      </c>
      <c r="J30" s="44">
        <f>Assumptions!J229</f>
        <v>803.28744202607641</v>
      </c>
      <c r="K30" s="44">
        <f>Assumptions!K229</f>
        <v>618.19158489439474</v>
      </c>
      <c r="L30" s="190"/>
    </row>
    <row r="31" spans="1:13" ht="15" customHeight="1" x14ac:dyDescent="0.2">
      <c r="A31" s="50" t="s">
        <v>1087</v>
      </c>
      <c r="B31" s="51">
        <f t="shared" ref="B31:K31" si="7">B27+B28+B29+B30-B26</f>
        <v>0</v>
      </c>
      <c r="C31" s="51">
        <f t="shared" si="7"/>
        <v>0</v>
      </c>
      <c r="D31" s="51">
        <f t="shared" si="7"/>
        <v>0</v>
      </c>
      <c r="E31" s="51">
        <f t="shared" si="7"/>
        <v>0</v>
      </c>
      <c r="F31" s="51">
        <f t="shared" si="7"/>
        <v>0</v>
      </c>
      <c r="G31" s="51">
        <f t="shared" si="7"/>
        <v>0</v>
      </c>
      <c r="H31" s="51">
        <f t="shared" si="7"/>
        <v>0</v>
      </c>
      <c r="I31" s="51">
        <f t="shared" si="7"/>
        <v>0</v>
      </c>
      <c r="J31" s="51">
        <f t="shared" si="7"/>
        <v>0</v>
      </c>
      <c r="K31" s="51">
        <f t="shared" si="7"/>
        <v>0</v>
      </c>
      <c r="L31" s="190"/>
    </row>
    <row r="32" spans="1:13" ht="15" customHeight="1" x14ac:dyDescent="0.2">
      <c r="A32" s="266" t="s">
        <v>1088</v>
      </c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190"/>
    </row>
    <row r="33" spans="1:12" ht="15" customHeight="1" x14ac:dyDescent="0.2">
      <c r="A33" s="47" t="s">
        <v>1089</v>
      </c>
      <c r="B33" s="122">
        <f>B27*Assumptions!$B$282</f>
        <v>0</v>
      </c>
      <c r="C33" s="122">
        <f>C27*Assumptions!$B$282</f>
        <v>5580.8032800000001</v>
      </c>
      <c r="D33" s="122">
        <f>D27*Assumptions!$B$282</f>
        <v>9108.9913199999992</v>
      </c>
      <c r="E33" s="122">
        <f>E27*Assumptions!$B$282</f>
        <v>12831.029119999996</v>
      </c>
      <c r="F33" s="122">
        <f>F27*Assumptions!$B$282</f>
        <v>14703.315119999997</v>
      </c>
      <c r="G33" s="122">
        <f>G27*Assumptions!$B$282</f>
        <v>16658.059600000001</v>
      </c>
      <c r="H33" s="122">
        <f>H27*Assumptions!$B$282</f>
        <v>19022.076022857138</v>
      </c>
      <c r="I33" s="122">
        <f>I27*Assumptions!$B$282</f>
        <v>20801.761165714288</v>
      </c>
      <c r="J33" s="122">
        <f>J27*Assumptions!$B$282</f>
        <v>21323.759748571429</v>
      </c>
      <c r="K33" s="122">
        <f>K27*Assumptions!$B$282</f>
        <v>21845.758331428573</v>
      </c>
      <c r="L33" s="190"/>
    </row>
    <row r="34" spans="1:12" ht="15" customHeight="1" x14ac:dyDescent="0.2">
      <c r="A34" s="43" t="s">
        <v>1090</v>
      </c>
      <c r="B34" s="44">
        <f>(B28+B29)*Assumptions!$B$282</f>
        <v>5043</v>
      </c>
      <c r="C34" s="44">
        <f>(C28+C29)*Assumptions!$B$282</f>
        <v>8098.5116808000002</v>
      </c>
      <c r="D34" s="44">
        <f>(D28+D29)*Assumptions!$B$282</f>
        <v>9673.1305002000008</v>
      </c>
      <c r="E34" s="44">
        <f>(E28+E29)*Assumptions!$B$282</f>
        <v>11332.758789449999</v>
      </c>
      <c r="F34" s="44">
        <f>(F28+F29)*Assumptions!$B$282</f>
        <v>12342.461164762501</v>
      </c>
      <c r="G34" s="44">
        <f>(G28+G29)*Assumptions!$B$282</f>
        <v>13398.632563640625</v>
      </c>
      <c r="H34" s="44">
        <f>(H28+H29)*Assumptions!$B$282</f>
        <v>14619.765031251229</v>
      </c>
      <c r="I34" s="44">
        <f>(I28+I29)*Assumptions!$B$282</f>
        <v>15649.042565830936</v>
      </c>
      <c r="J34" s="44">
        <f>(J28+J29)*Assumptions!$B$282</f>
        <v>16244.982482968195</v>
      </c>
      <c r="K34" s="44">
        <f>(K28+K29)*Assumptions!$B$282</f>
        <v>16861.32342147089</v>
      </c>
      <c r="L34" s="190"/>
    </row>
    <row r="35" spans="1:12" ht="15" customHeight="1" x14ac:dyDescent="0.2">
      <c r="A35" s="50" t="s">
        <v>1091</v>
      </c>
      <c r="B35" s="51">
        <f>B30*Assumptions!$B$282</f>
        <v>7698.5599999999986</v>
      </c>
      <c r="C35" s="51">
        <f>C30*Assumptions!$B$282</f>
        <v>6518.0050391999939</v>
      </c>
      <c r="D35" s="51">
        <f>D30*Assumptions!$B$282</f>
        <v>8870.9581797999963</v>
      </c>
      <c r="E35" s="51">
        <f>E30*Assumptions!$B$282</f>
        <v>6660.7720905499991</v>
      </c>
      <c r="F35" s="51">
        <f>F30*Assumptions!$B$282</f>
        <v>6950.2637152374946</v>
      </c>
      <c r="G35" s="51">
        <f>G30*Assumptions!$B$282</f>
        <v>8223.6278363593683</v>
      </c>
      <c r="H35" s="51">
        <f>H30*Assumptions!$B$282</f>
        <v>8867.1189458916233</v>
      </c>
      <c r="I35" s="51">
        <f>I30*Assumptions!$B$282</f>
        <v>6058.1562684547698</v>
      </c>
      <c r="J35" s="51">
        <f>J30*Assumptions!$B$282</f>
        <v>4940.2177684603703</v>
      </c>
      <c r="K35" s="51">
        <f>K30*Assumptions!$B$282</f>
        <v>3801.8782471005279</v>
      </c>
      <c r="L35" s="190"/>
    </row>
    <row r="36" spans="1:12" ht="15" customHeight="1" x14ac:dyDescent="0.2">
      <c r="A36" s="26" t="s">
        <v>1092</v>
      </c>
      <c r="B36" s="27">
        <f t="shared" ref="B36:K36" si="8">B33+B34+B35</f>
        <v>12741.559999999998</v>
      </c>
      <c r="C36" s="27">
        <f t="shared" si="8"/>
        <v>20197.319999999992</v>
      </c>
      <c r="D36" s="27">
        <f t="shared" si="8"/>
        <v>27653.079999999998</v>
      </c>
      <c r="E36" s="27">
        <f t="shared" si="8"/>
        <v>30824.559999999994</v>
      </c>
      <c r="F36" s="27">
        <f t="shared" si="8"/>
        <v>33996.039999999994</v>
      </c>
      <c r="G36" s="27">
        <f t="shared" si="8"/>
        <v>38280.319999999992</v>
      </c>
      <c r="H36" s="27">
        <f t="shared" si="8"/>
        <v>42508.959999999992</v>
      </c>
      <c r="I36" s="27">
        <f t="shared" si="8"/>
        <v>42508.959999999992</v>
      </c>
      <c r="J36" s="27">
        <f t="shared" si="8"/>
        <v>42508.959999999992</v>
      </c>
      <c r="K36" s="27">
        <f t="shared" si="8"/>
        <v>42508.959999999992</v>
      </c>
      <c r="L36" s="190"/>
    </row>
    <row r="37" spans="1:12" ht="15" customHeight="1" x14ac:dyDescent="0.2">
      <c r="A37" s="193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190"/>
    </row>
    <row r="38" spans="1:12" ht="15" customHeight="1" x14ac:dyDescent="0.2">
      <c r="A38" s="238" t="s">
        <v>1093</v>
      </c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190"/>
    </row>
    <row r="39" spans="1:12" ht="15" customHeight="1" x14ac:dyDescent="0.2">
      <c r="A39" s="21" t="s">
        <v>8</v>
      </c>
      <c r="B39" s="22" t="s">
        <v>23</v>
      </c>
      <c r="C39" s="22" t="s">
        <v>24</v>
      </c>
      <c r="D39" s="22" t="s">
        <v>25</v>
      </c>
      <c r="E39" s="22" t="s">
        <v>26</v>
      </c>
      <c r="F39" s="22" t="s">
        <v>27</v>
      </c>
      <c r="G39" s="22" t="s">
        <v>28</v>
      </c>
      <c r="H39" s="22" t="s">
        <v>29</v>
      </c>
      <c r="I39" s="22" t="s">
        <v>30</v>
      </c>
      <c r="J39" s="22" t="s">
        <v>31</v>
      </c>
      <c r="K39" s="22" t="s">
        <v>32</v>
      </c>
      <c r="L39" s="190"/>
    </row>
    <row r="40" spans="1:12" ht="15" customHeight="1" x14ac:dyDescent="0.2">
      <c r="A40" s="222" t="s">
        <v>1094</v>
      </c>
      <c r="B40" s="223">
        <f>IF(B22&gt;0,Revenue!B13/B22,0)</f>
        <v>600.02071959791419</v>
      </c>
      <c r="C40" s="223">
        <f>IF(C22&gt;0,Revenue!C13/C22,0)</f>
        <v>620.22090059473248</v>
      </c>
      <c r="D40" s="223">
        <f>IF(D22&gt;0,Revenue!D13/D22,0)</f>
        <v>645.62567930950206</v>
      </c>
      <c r="E40" s="223">
        <f>IF(E22&gt;0,Revenue!E13/E22,0)</f>
        <v>672.78227740477109</v>
      </c>
      <c r="F40" s="223">
        <f>IF(F22&gt;0,Revenue!F13/F22,0)</f>
        <v>698.30109079339843</v>
      </c>
      <c r="G40" s="223">
        <f>IF(G22&gt;0,Revenue!G13/G22,0)</f>
        <v>722.30057613214547</v>
      </c>
      <c r="H40" s="223">
        <f>IF(H22&gt;0,Revenue!H13/H22,0)</f>
        <v>734.43877240390304</v>
      </c>
      <c r="I40" s="223">
        <f>IF(I22&gt;0,Revenue!I13/I22,0)</f>
        <v>763.81632330005948</v>
      </c>
      <c r="J40" s="223">
        <f>IF(J22&gt;0,Revenue!J13/J22,0)</f>
        <v>794.36897623206175</v>
      </c>
      <c r="K40" s="223">
        <f>IF(K22&gt;0,Revenue!K13/K22,0)</f>
        <v>826.14373528134399</v>
      </c>
      <c r="L40" s="207"/>
    </row>
    <row r="41" spans="1:12" ht="15" customHeight="1" x14ac:dyDescent="0.2">
      <c r="A41" s="222" t="s">
        <v>1095</v>
      </c>
      <c r="B41" s="223">
        <f>B40*Assumptions!$B$282</f>
        <v>3690.1274255271724</v>
      </c>
      <c r="C41" s="223">
        <f>C40*Assumptions!$B$282</f>
        <v>3814.3585386576051</v>
      </c>
      <c r="D41" s="223">
        <f>D40*Assumptions!$B$282</f>
        <v>3970.5979277534379</v>
      </c>
      <c r="E41" s="223">
        <f>E40*Assumptions!$B$282</f>
        <v>4137.6110060393421</v>
      </c>
      <c r="F41" s="223">
        <f>F40*Assumptions!$B$282</f>
        <v>4294.5517083794002</v>
      </c>
      <c r="G41" s="223">
        <f>G40*Assumptions!$B$282</f>
        <v>4442.1485432126947</v>
      </c>
      <c r="H41" s="223">
        <f>H40*Assumptions!$B$282</f>
        <v>4516.7984502840036</v>
      </c>
      <c r="I41" s="223">
        <f>I40*Assumptions!$B$282</f>
        <v>4697.4703882953663</v>
      </c>
      <c r="J41" s="223">
        <f>J40*Assumptions!$B$282</f>
        <v>4885.3692038271802</v>
      </c>
      <c r="K41" s="223">
        <f>K40*Assumptions!$B$282</f>
        <v>5080.783971980266</v>
      </c>
      <c r="L41" s="190"/>
    </row>
    <row r="42" spans="1:12" ht="15" customHeight="1" x14ac:dyDescent="0.2">
      <c r="A42" s="50" t="s">
        <v>1096</v>
      </c>
      <c r="B42" s="128">
        <f t="shared" ref="B42:K42" si="9">B95</f>
        <v>1529040</v>
      </c>
      <c r="C42" s="128">
        <f t="shared" si="9"/>
        <v>1989935.3988682916</v>
      </c>
      <c r="D42" s="128">
        <f t="shared" si="9"/>
        <v>2585251.6292292671</v>
      </c>
      <c r="E42" s="128">
        <f t="shared" si="9"/>
        <v>2297361.9106113818</v>
      </c>
      <c r="F42" s="128">
        <f t="shared" si="9"/>
        <v>2437952.6238356084</v>
      </c>
      <c r="G42" s="128">
        <f t="shared" si="9"/>
        <v>2774128.7226190898</v>
      </c>
      <c r="H42" s="128">
        <f t="shared" si="9"/>
        <v>3001678.2622661111</v>
      </c>
      <c r="I42" s="128">
        <f t="shared" si="9"/>
        <v>2537580.1078887149</v>
      </c>
      <c r="J42" s="128">
        <f t="shared" si="9"/>
        <v>2363582.1620199718</v>
      </c>
      <c r="K42" s="128">
        <f t="shared" si="9"/>
        <v>2186689.9623324694</v>
      </c>
      <c r="L42" s="190"/>
    </row>
    <row r="43" spans="1:12" ht="15" customHeight="1" x14ac:dyDescent="0.2">
      <c r="A43" s="129" t="s">
        <v>1097</v>
      </c>
      <c r="B43" s="51">
        <f>Assumptions!$B$262</f>
        <v>1200</v>
      </c>
      <c r="C43" s="51">
        <f>Assumptions!$B$262</f>
        <v>1200</v>
      </c>
      <c r="D43" s="51">
        <f>Assumptions!$B$262</f>
        <v>1200</v>
      </c>
      <c r="E43" s="51">
        <f>Assumptions!$B$262</f>
        <v>1200</v>
      </c>
      <c r="F43" s="51">
        <f>Assumptions!$B$262</f>
        <v>1200</v>
      </c>
      <c r="G43" s="51">
        <f>Assumptions!$B$262</f>
        <v>1200</v>
      </c>
      <c r="H43" s="51">
        <f>Assumptions!$B$262</f>
        <v>1200</v>
      </c>
      <c r="I43" s="51">
        <f>Assumptions!$B$262</f>
        <v>1200</v>
      </c>
      <c r="J43" s="51">
        <f>Assumptions!$B$262</f>
        <v>1200</v>
      </c>
      <c r="K43" s="51">
        <f>Assumptions!$B$262</f>
        <v>1200</v>
      </c>
      <c r="L43" s="190"/>
    </row>
    <row r="44" spans="1:12" ht="15" customHeight="1" x14ac:dyDescent="0.2">
      <c r="A44" s="535" t="s">
        <v>1098</v>
      </c>
      <c r="B44" s="536">
        <f t="shared" ref="B44:K44" si="10">IF(B30&gt;0,B42/B30,0)</f>
        <v>1221.4746653919697</v>
      </c>
      <c r="C44" s="536">
        <f t="shared" si="10"/>
        <v>1877.5841119236188</v>
      </c>
      <c r="D44" s="536">
        <f t="shared" si="10"/>
        <v>1792.2863796116394</v>
      </c>
      <c r="E44" s="536">
        <f t="shared" si="10"/>
        <v>2121.1918915984625</v>
      </c>
      <c r="F44" s="536">
        <f t="shared" si="10"/>
        <v>2157.2431278712506</v>
      </c>
      <c r="G44" s="536">
        <f t="shared" si="10"/>
        <v>2074.6186456390424</v>
      </c>
      <c r="H44" s="536">
        <f t="shared" si="10"/>
        <v>2081.8849307857486</v>
      </c>
      <c r="I44" s="536">
        <f t="shared" si="10"/>
        <v>2576.0506946276228</v>
      </c>
      <c r="J44" s="536">
        <f t="shared" si="10"/>
        <v>2942.38654603945</v>
      </c>
      <c r="K44" s="536">
        <f t="shared" si="10"/>
        <v>3537.2367009913605</v>
      </c>
      <c r="L44" s="190"/>
    </row>
    <row r="45" spans="1:12" ht="15" customHeight="1" x14ac:dyDescent="0.2">
      <c r="A45" s="222" t="s">
        <v>1099</v>
      </c>
      <c r="B45" s="250">
        <f>1/(1-Assumptions!B250)</f>
        <v>2.5</v>
      </c>
      <c r="C45" s="250">
        <f>1/(1-Assumptions!C250)</f>
        <v>2.6315789473684212</v>
      </c>
      <c r="D45" s="250">
        <f>1/(1-Assumptions!D250)</f>
        <v>2.7777777777777777</v>
      </c>
      <c r="E45" s="250">
        <f>1/(1-Assumptions!E250)</f>
        <v>2.9411764705882346</v>
      </c>
      <c r="F45" s="250">
        <f>1/(1-Assumptions!F250)</f>
        <v>3.1249999999999996</v>
      </c>
      <c r="G45" s="250">
        <f>1/(1-Assumptions!G250)</f>
        <v>3.333333333333333</v>
      </c>
      <c r="H45" s="250">
        <f>1/(1-Assumptions!H250)</f>
        <v>3.5714285714285712</v>
      </c>
      <c r="I45" s="250">
        <f>1/(1-Assumptions!I250)</f>
        <v>3.8461538461538458</v>
      </c>
      <c r="J45" s="250">
        <f>1/(1-Assumptions!J250)</f>
        <v>4.166666666666667</v>
      </c>
      <c r="K45" s="250">
        <f>1/(1-Assumptions!K250)</f>
        <v>4.5454545454545459</v>
      </c>
      <c r="L45" s="190"/>
    </row>
    <row r="46" spans="1:12" ht="15" customHeight="1" x14ac:dyDescent="0.2">
      <c r="A46" s="266" t="s">
        <v>1100</v>
      </c>
      <c r="B46" s="263">
        <f t="shared" ref="B46:K46" si="11">B41*B45</f>
        <v>9225.3185638179311</v>
      </c>
      <c r="C46" s="263">
        <f t="shared" si="11"/>
        <v>10037.785628046329</v>
      </c>
      <c r="D46" s="263">
        <f t="shared" si="11"/>
        <v>11029.438688203994</v>
      </c>
      <c r="E46" s="263">
        <f t="shared" si="11"/>
        <v>12169.444135409827</v>
      </c>
      <c r="F46" s="263">
        <f t="shared" si="11"/>
        <v>13420.474088685623</v>
      </c>
      <c r="G46" s="263">
        <f t="shared" si="11"/>
        <v>14807.161810708982</v>
      </c>
      <c r="H46" s="263">
        <f t="shared" si="11"/>
        <v>16131.423036728584</v>
      </c>
      <c r="I46" s="263">
        <f t="shared" si="11"/>
        <v>18067.193801136022</v>
      </c>
      <c r="J46" s="263">
        <f t="shared" si="11"/>
        <v>20355.705015946587</v>
      </c>
      <c r="K46" s="263">
        <f t="shared" si="11"/>
        <v>23094.472599910303</v>
      </c>
      <c r="L46" s="190"/>
    </row>
    <row r="47" spans="1:12" ht="15" customHeight="1" x14ac:dyDescent="0.2">
      <c r="A47" s="26" t="s">
        <v>1101</v>
      </c>
      <c r="B47" s="130">
        <f t="shared" ref="B47:K47" si="12">IF(B43&gt;0,B46/B43,0)</f>
        <v>7.6877654698482756</v>
      </c>
      <c r="C47" s="130">
        <f t="shared" si="12"/>
        <v>8.3648213567052743</v>
      </c>
      <c r="D47" s="130">
        <f t="shared" si="12"/>
        <v>9.1911989068366626</v>
      </c>
      <c r="E47" s="130">
        <f t="shared" si="12"/>
        <v>10.141203446174856</v>
      </c>
      <c r="F47" s="130">
        <f t="shared" si="12"/>
        <v>11.18372840723802</v>
      </c>
      <c r="G47" s="130">
        <f t="shared" si="12"/>
        <v>12.339301508924152</v>
      </c>
      <c r="H47" s="130">
        <f t="shared" si="12"/>
        <v>13.442852530607153</v>
      </c>
      <c r="I47" s="130">
        <f t="shared" si="12"/>
        <v>15.055994834280018</v>
      </c>
      <c r="J47" s="130">
        <f t="shared" si="12"/>
        <v>16.963087513288823</v>
      </c>
      <c r="K47" s="130">
        <f t="shared" si="12"/>
        <v>19.245393833258586</v>
      </c>
      <c r="L47" s="190"/>
    </row>
    <row r="48" spans="1:12" ht="15" customHeight="1" x14ac:dyDescent="0.2">
      <c r="A48" s="222" t="s">
        <v>1102</v>
      </c>
      <c r="B48" s="250">
        <f t="shared" ref="B48:K48" si="13">IF(B41&gt;0,B43/(B41/12),0)</f>
        <v>3.9023042674313104</v>
      </c>
      <c r="C48" s="250">
        <f t="shared" si="13"/>
        <v>3.7752088205813554</v>
      </c>
      <c r="D48" s="250">
        <f t="shared" si="13"/>
        <v>3.6266578137634577</v>
      </c>
      <c r="E48" s="250">
        <f t="shared" si="13"/>
        <v>3.4802691647381696</v>
      </c>
      <c r="F48" s="250">
        <f t="shared" si="13"/>
        <v>3.3530857183307754</v>
      </c>
      <c r="G48" s="250">
        <f t="shared" si="13"/>
        <v>3.2416745770472342</v>
      </c>
      <c r="H48" s="250">
        <f t="shared" si="13"/>
        <v>3.1880988621696345</v>
      </c>
      <c r="I48" s="250">
        <f t="shared" si="13"/>
        <v>3.0654796751631084</v>
      </c>
      <c r="J48" s="250">
        <f t="shared" si="13"/>
        <v>2.9475766107337584</v>
      </c>
      <c r="K48" s="250">
        <f t="shared" si="13"/>
        <v>2.8342082795516914</v>
      </c>
      <c r="L48" s="190"/>
    </row>
    <row r="49" spans="1:12" ht="15" customHeight="1" x14ac:dyDescent="0.2">
      <c r="A49" s="131" t="s">
        <v>1103</v>
      </c>
      <c r="B49" s="132">
        <f t="shared" ref="B49:K49" si="14">IF((B28+B29+B30)&gt;0,B42/(B28+B29+B30),0)</f>
        <v>738.02548510543454</v>
      </c>
      <c r="C49" s="132">
        <f t="shared" si="14"/>
        <v>837.27901369923643</v>
      </c>
      <c r="D49" s="132">
        <f t="shared" si="14"/>
        <v>857.3782079087855</v>
      </c>
      <c r="E49" s="132">
        <f t="shared" si="14"/>
        <v>785.2141886151029</v>
      </c>
      <c r="F49" s="132">
        <f t="shared" si="14"/>
        <v>777.15349852586485</v>
      </c>
      <c r="G49" s="132">
        <f t="shared" si="14"/>
        <v>789.04292745024043</v>
      </c>
      <c r="H49" s="132">
        <f t="shared" si="14"/>
        <v>785.98426810904095</v>
      </c>
      <c r="I49" s="132">
        <f t="shared" si="14"/>
        <v>718.93742636504169</v>
      </c>
      <c r="J49" s="132">
        <f t="shared" si="14"/>
        <v>686.14080225381065</v>
      </c>
      <c r="K49" s="132">
        <f t="shared" si="14"/>
        <v>650.82572797995863</v>
      </c>
    </row>
    <row r="50" spans="1:12" ht="15" customHeight="1" x14ac:dyDescent="0.2">
      <c r="A50" s="131" t="s">
        <v>1104</v>
      </c>
      <c r="B50" s="132">
        <f t="shared" ref="B50:K50" si="15">IF(B35&gt;0,B42/B35,0)</f>
        <v>198.61376673040158</v>
      </c>
      <c r="C50" s="132">
        <f t="shared" si="15"/>
        <v>305.29822958107627</v>
      </c>
      <c r="D50" s="132">
        <f t="shared" si="15"/>
        <v>291.42867961164865</v>
      </c>
      <c r="E50" s="132">
        <f t="shared" si="15"/>
        <v>344.90925066641665</v>
      </c>
      <c r="F50" s="132">
        <f t="shared" si="15"/>
        <v>350.77124030426836</v>
      </c>
      <c r="G50" s="132">
        <f t="shared" si="15"/>
        <v>337.33636514455975</v>
      </c>
      <c r="H50" s="132">
        <f t="shared" si="15"/>
        <v>338.517874924512</v>
      </c>
      <c r="I50" s="132">
        <f t="shared" si="15"/>
        <v>418.87003164676793</v>
      </c>
      <c r="J50" s="132">
        <f t="shared" si="15"/>
        <v>478.43683675438206</v>
      </c>
      <c r="K50" s="132">
        <f t="shared" si="15"/>
        <v>575.16043918558705</v>
      </c>
    </row>
    <row r="51" spans="1:12" ht="15" customHeight="1" x14ac:dyDescent="0.2">
      <c r="A51" s="133" t="s">
        <v>1105</v>
      </c>
      <c r="B51" s="134">
        <f t="shared" ref="B51:K51" si="16">IF(B42&gt;0,B35*B40/B42,0)</f>
        <v>3.0210429492150088</v>
      </c>
      <c r="C51" s="134">
        <f t="shared" si="16"/>
        <v>2.0315247207485823</v>
      </c>
      <c r="D51" s="134">
        <f t="shared" si="16"/>
        <v>2.2153814105387584</v>
      </c>
      <c r="E51" s="134">
        <f t="shared" si="16"/>
        <v>1.9506066482845976</v>
      </c>
      <c r="F51" s="134">
        <f t="shared" si="16"/>
        <v>1.9907592486421446</v>
      </c>
      <c r="G51" s="134">
        <f t="shared" si="16"/>
        <v>2.14118799739428</v>
      </c>
      <c r="H51" s="134">
        <f t="shared" si="16"/>
        <v>2.1695716144019861</v>
      </c>
      <c r="I51" s="134">
        <f t="shared" si="16"/>
        <v>1.8235162833138272</v>
      </c>
      <c r="J51" s="134">
        <f t="shared" si="16"/>
        <v>1.6603424218354483</v>
      </c>
      <c r="K51" s="134">
        <f t="shared" si="16"/>
        <v>1.43637093060702</v>
      </c>
    </row>
    <row r="52" spans="1:12" ht="15" customHeight="1" x14ac:dyDescent="0.2">
      <c r="A52" s="193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0"/>
    </row>
    <row r="53" spans="1:12" ht="15" customHeight="1" x14ac:dyDescent="0.2">
      <c r="A53" s="238" t="s">
        <v>1106</v>
      </c>
      <c r="B53" s="208"/>
      <c r="C53" s="209"/>
      <c r="D53" s="186"/>
      <c r="E53" s="186"/>
      <c r="F53" s="186"/>
      <c r="G53" s="186"/>
      <c r="H53" s="186"/>
      <c r="I53" s="186"/>
      <c r="J53" s="186"/>
      <c r="K53" s="186"/>
      <c r="L53" s="190"/>
    </row>
    <row r="54" spans="1:12" ht="15" customHeight="1" x14ac:dyDescent="0.2">
      <c r="A54" s="21" t="s">
        <v>136</v>
      </c>
      <c r="B54" s="135" t="s">
        <v>23</v>
      </c>
      <c r="C54" s="135" t="s">
        <v>24</v>
      </c>
      <c r="D54" s="135" t="s">
        <v>25</v>
      </c>
      <c r="E54" s="135" t="s">
        <v>26</v>
      </c>
      <c r="F54" s="135" t="s">
        <v>27</v>
      </c>
      <c r="G54" s="135" t="s">
        <v>28</v>
      </c>
      <c r="H54" s="135" t="s">
        <v>29</v>
      </c>
      <c r="I54" s="135" t="s">
        <v>30</v>
      </c>
      <c r="J54" s="135" t="s">
        <v>31</v>
      </c>
      <c r="K54" s="135" t="s">
        <v>32</v>
      </c>
      <c r="L54" s="190"/>
    </row>
    <row r="55" spans="1:12" ht="15" customHeight="1" x14ac:dyDescent="0.2">
      <c r="A55" s="266" t="s">
        <v>175</v>
      </c>
      <c r="B55" s="239">
        <f>MIN(B22*Assumptions!$B$285,MIN(Assumptions!C186,Assumptions!$D$40))</f>
        <v>7251.2943089430892</v>
      </c>
      <c r="C55" s="239">
        <f>MIN(C22*Assumptions!$B$285,MIN(Assumptions!D186,Assumptions!$D$40))</f>
        <v>11494.409756097559</v>
      </c>
      <c r="D55" s="239">
        <f>MIN(D22*Assumptions!$B$285,MIN(Assumptions!E186,Assumptions!$D$40))</f>
        <v>15737.525203252029</v>
      </c>
      <c r="E55" s="239">
        <f>MIN(E22*Assumptions!$B$285,MIN(Assumptions!F186,Assumptions!$D$40))</f>
        <v>17542.432520325201</v>
      </c>
      <c r="F55" s="239">
        <f>MIN(F22*Assumptions!$B$285,MIN(Assumptions!G186,Assumptions!$D$40))</f>
        <v>19347.339837398369</v>
      </c>
      <c r="G55" s="239">
        <f>MIN(G22*Assumptions!$B$285,MIN(Assumptions!H186,Assumptions!$D$40))</f>
        <v>21785.54796747967</v>
      </c>
      <c r="H55" s="239">
        <f>MIN(H22*Assumptions!$B$285,MIN(Assumptions!I186,Assumptions!$D$40))</f>
        <v>24192.091056910565</v>
      </c>
      <c r="I55" s="239">
        <f>MIN(I22*Assumptions!$B$285,MIN(Assumptions!J186,Assumptions!$D$40))</f>
        <v>24192.091056910558</v>
      </c>
      <c r="J55" s="239">
        <f>MIN(J22*Assumptions!$B$285,MIN(Assumptions!K186,Assumptions!$D$40))</f>
        <v>24192.091056910565</v>
      </c>
      <c r="K55" s="239">
        <f>MIN(K22*Assumptions!$B$285,MIN(Assumptions!L186,Assumptions!$D$40))</f>
        <v>24192.091056910565</v>
      </c>
      <c r="L55" s="190"/>
    </row>
    <row r="56" spans="1:12" ht="15" customHeight="1" x14ac:dyDescent="0.2">
      <c r="A56" s="222" t="s">
        <v>1107</v>
      </c>
      <c r="B56" s="239">
        <f>B55/Assumptions!$B$254</f>
        <v>725.12943089430894</v>
      </c>
      <c r="C56" s="239">
        <f>C55/Assumptions!$B$254</f>
        <v>1149.4409756097559</v>
      </c>
      <c r="D56" s="239">
        <f>D55/Assumptions!$B$254</f>
        <v>1573.752520325203</v>
      </c>
      <c r="E56" s="239">
        <f>E55/Assumptions!$B$254</f>
        <v>1754.2432520325201</v>
      </c>
      <c r="F56" s="239">
        <f>F55/Assumptions!$B$254</f>
        <v>1934.733983739837</v>
      </c>
      <c r="G56" s="239">
        <f>G55/Assumptions!$B$254</f>
        <v>2178.554796747967</v>
      </c>
      <c r="H56" s="239">
        <f>H55/Assumptions!$B$254</f>
        <v>2419.2091056910567</v>
      </c>
      <c r="I56" s="239">
        <f>I55/Assumptions!$B$254</f>
        <v>2419.2091056910558</v>
      </c>
      <c r="J56" s="239">
        <f>J55/Assumptions!$B$254</f>
        <v>2419.2091056910567</v>
      </c>
      <c r="K56" s="239">
        <f>K55/Assumptions!$B$254</f>
        <v>2419.2091056910567</v>
      </c>
      <c r="L56" s="190"/>
    </row>
    <row r="57" spans="1:12" ht="15" customHeight="1" x14ac:dyDescent="0.2">
      <c r="A57" s="47" t="s">
        <v>1108</v>
      </c>
      <c r="B57" s="122">
        <f t="shared" ref="B57:K57" si="17">IF(B26&gt;0,B55*B27/B26,0)</f>
        <v>0</v>
      </c>
      <c r="C57" s="122">
        <f t="shared" si="17"/>
        <v>3176.0669073170734</v>
      </c>
      <c r="D57" s="122">
        <f t="shared" si="17"/>
        <v>5183.9787999999999</v>
      </c>
      <c r="E57" s="122">
        <f t="shared" si="17"/>
        <v>7302.2116943089404</v>
      </c>
      <c r="F57" s="122">
        <f t="shared" si="17"/>
        <v>8367.7403121951211</v>
      </c>
      <c r="G57" s="122">
        <f t="shared" si="17"/>
        <v>9480.1965203252021</v>
      </c>
      <c r="H57" s="122">
        <f t="shared" si="17"/>
        <v>10825.571720325201</v>
      </c>
      <c r="I57" s="122">
        <f t="shared" si="17"/>
        <v>11838.400663414634</v>
      </c>
      <c r="J57" s="122">
        <f t="shared" si="17"/>
        <v>12135.473027642278</v>
      </c>
      <c r="K57" s="122">
        <f t="shared" si="17"/>
        <v>12432.545391869919</v>
      </c>
      <c r="L57" s="190"/>
    </row>
    <row r="58" spans="1:12" ht="15" customHeight="1" x14ac:dyDescent="0.2">
      <c r="A58" s="43" t="s">
        <v>1109</v>
      </c>
      <c r="B58" s="44">
        <f t="shared" ref="B58:K58" si="18">IF(B26&gt;0,B55*(B29+B28)/B26,0)</f>
        <v>2870</v>
      </c>
      <c r="C58" s="44">
        <f t="shared" si="18"/>
        <v>4608.9090866341467</v>
      </c>
      <c r="D58" s="44">
        <f t="shared" si="18"/>
        <v>5505.0336179999995</v>
      </c>
      <c r="E58" s="44">
        <f t="shared" si="18"/>
        <v>6449.537522451219</v>
      </c>
      <c r="F58" s="44">
        <f t="shared" si="18"/>
        <v>7024.1648905152442</v>
      </c>
      <c r="G58" s="44">
        <f t="shared" si="18"/>
        <v>7625.2380443483225</v>
      </c>
      <c r="H58" s="44">
        <f t="shared" si="18"/>
        <v>8320.1914811998868</v>
      </c>
      <c r="I58" s="44">
        <f t="shared" si="18"/>
        <v>8905.9591838062224</v>
      </c>
      <c r="J58" s="44">
        <f t="shared" si="18"/>
        <v>9245.1119821770226</v>
      </c>
      <c r="K58" s="44">
        <f t="shared" si="18"/>
        <v>9595.8751179102619</v>
      </c>
      <c r="L58" s="190"/>
    </row>
    <row r="59" spans="1:12" ht="15" customHeight="1" x14ac:dyDescent="0.2">
      <c r="A59" s="50" t="s">
        <v>1110</v>
      </c>
      <c r="B59" s="51">
        <f t="shared" ref="B59:K59" si="19">IF(B26&gt;0,B55*B30/B26,0)</f>
        <v>4381.2943089430892</v>
      </c>
      <c r="C59" s="51">
        <f t="shared" si="19"/>
        <v>3709.4337621463387</v>
      </c>
      <c r="D59" s="51">
        <f t="shared" si="19"/>
        <v>5048.5127852520309</v>
      </c>
      <c r="E59" s="51">
        <f t="shared" si="19"/>
        <v>3790.6833035650402</v>
      </c>
      <c r="F59" s="51">
        <f t="shared" si="19"/>
        <v>3955.4346346880052</v>
      </c>
      <c r="G59" s="51">
        <f t="shared" si="19"/>
        <v>4680.1134028061442</v>
      </c>
      <c r="H59" s="51">
        <f t="shared" si="19"/>
        <v>5046.3278553854771</v>
      </c>
      <c r="I59" s="51">
        <f t="shared" si="19"/>
        <v>3447.7312096897058</v>
      </c>
      <c r="J59" s="51">
        <f t="shared" si="19"/>
        <v>2811.5060470912676</v>
      </c>
      <c r="K59" s="51">
        <f t="shared" si="19"/>
        <v>2163.6705471303817</v>
      </c>
      <c r="L59" s="190"/>
    </row>
    <row r="60" spans="1:12" ht="15" customHeight="1" x14ac:dyDescent="0.2">
      <c r="A60" s="193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0"/>
    </row>
    <row r="61" spans="1:12" ht="15" customHeight="1" x14ac:dyDescent="0.2">
      <c r="A61" s="266" t="s">
        <v>453</v>
      </c>
      <c r="B61" s="239">
        <f>MIN(B22*Assumptions!$B$286,MIN(Assumptions!C187,Assumptions!$D$41))</f>
        <v>1553.8487804878048</v>
      </c>
      <c r="C61" s="239">
        <f>MIN(C22*Assumptions!$B$286,MIN(Assumptions!D187,Assumptions!$D$41))</f>
        <v>2463.0878048780482</v>
      </c>
      <c r="D61" s="239">
        <f>MIN(D22*Assumptions!$B$286,MIN(Assumptions!E187,Assumptions!$D$41))</f>
        <v>3372.3268292682919</v>
      </c>
      <c r="E61" s="239">
        <f>MIN(E22*Assumptions!$B$286,MIN(Assumptions!F187,Assumptions!$D$41))</f>
        <v>3759.0926829268283</v>
      </c>
      <c r="F61" s="239">
        <f>MIN(F22*Assumptions!$B$286,MIN(Assumptions!G187,Assumptions!$D$41))</f>
        <v>4145.8585365853651</v>
      </c>
      <c r="G61" s="239">
        <f>MIN(G22*Assumptions!$B$286,MIN(Assumptions!H187,Assumptions!$D$41))</f>
        <v>4668.331707317072</v>
      </c>
      <c r="H61" s="239">
        <f>MIN(H22*Assumptions!$B$286,MIN(Assumptions!I187,Assumptions!$D$41))</f>
        <v>5007.6000000000004</v>
      </c>
      <c r="I61" s="239">
        <f>MIN(I22*Assumptions!$B$286,MIN(Assumptions!J187,Assumptions!$D$41))</f>
        <v>5007.6000000000004</v>
      </c>
      <c r="J61" s="239">
        <f>MIN(J22*Assumptions!$B$286,MIN(Assumptions!K187,Assumptions!$D$41))</f>
        <v>5007.6000000000004</v>
      </c>
      <c r="K61" s="239">
        <f>MIN(K22*Assumptions!$B$286,MIN(Assumptions!L187,Assumptions!$D$41))</f>
        <v>5007.6000000000004</v>
      </c>
      <c r="L61" s="190"/>
    </row>
    <row r="62" spans="1:12" ht="15" customHeight="1" x14ac:dyDescent="0.2">
      <c r="A62" s="222" t="s">
        <v>1107</v>
      </c>
      <c r="B62" s="239">
        <f>B61/Assumptions!$B$255</f>
        <v>517.94959349593489</v>
      </c>
      <c r="C62" s="239">
        <f>C61/Assumptions!$B$255</f>
        <v>821.02926829268279</v>
      </c>
      <c r="D62" s="239">
        <f>D61/Assumptions!$B$255</f>
        <v>1124.1089430894306</v>
      </c>
      <c r="E62" s="239">
        <f>E61/Assumptions!$B$255</f>
        <v>1253.0308943089428</v>
      </c>
      <c r="F62" s="239">
        <f>F61/Assumptions!$B$255</f>
        <v>1381.9528455284551</v>
      </c>
      <c r="G62" s="239">
        <f>G61/Assumptions!$B$255</f>
        <v>1556.1105691056907</v>
      </c>
      <c r="H62" s="239">
        <f>H61/Assumptions!$B$255</f>
        <v>1669.2</v>
      </c>
      <c r="I62" s="239">
        <f>I61/Assumptions!$B$255</f>
        <v>1669.2</v>
      </c>
      <c r="J62" s="239">
        <f>J61/Assumptions!$B$255</f>
        <v>1669.2</v>
      </c>
      <c r="K62" s="239">
        <f>K61/Assumptions!$B$255</f>
        <v>1669.2</v>
      </c>
      <c r="L62" s="190"/>
    </row>
    <row r="63" spans="1:12" ht="15" customHeight="1" x14ac:dyDescent="0.2">
      <c r="A63" s="47" t="s">
        <v>1108</v>
      </c>
      <c r="B63" s="122">
        <f t="shared" ref="B63:K63" si="20">IF(B26&gt;0,B61*B27/B26,0)</f>
        <v>0</v>
      </c>
      <c r="C63" s="122">
        <f t="shared" si="20"/>
        <v>680.58576585365859</v>
      </c>
      <c r="D63" s="122">
        <f t="shared" si="20"/>
        <v>1110.8525999999999</v>
      </c>
      <c r="E63" s="122">
        <f t="shared" si="20"/>
        <v>1564.7596487804872</v>
      </c>
      <c r="F63" s="122">
        <f t="shared" si="20"/>
        <v>1793.0872097560973</v>
      </c>
      <c r="G63" s="122">
        <f t="shared" si="20"/>
        <v>2031.4706829268291</v>
      </c>
      <c r="H63" s="122">
        <f t="shared" si="20"/>
        <v>2240.8204738967838</v>
      </c>
      <c r="I63" s="122">
        <f t="shared" si="20"/>
        <v>2450.4692472700085</v>
      </c>
      <c r="J63" s="122">
        <f t="shared" si="20"/>
        <v>2511.9612269259546</v>
      </c>
      <c r="K63" s="122">
        <f t="shared" si="20"/>
        <v>2573.4532065819003</v>
      </c>
      <c r="L63" s="190"/>
    </row>
    <row r="64" spans="1:12" ht="15" customHeight="1" x14ac:dyDescent="0.2">
      <c r="A64" s="43" t="s">
        <v>1109</v>
      </c>
      <c r="B64" s="44">
        <f t="shared" ref="B64:K64" si="21">IF(B26&gt;0,B61*(B29+B28)/B26,0)</f>
        <v>615.00000000000011</v>
      </c>
      <c r="C64" s="44">
        <f t="shared" si="21"/>
        <v>987.62337570731711</v>
      </c>
      <c r="D64" s="44">
        <f t="shared" si="21"/>
        <v>1179.6500610000001</v>
      </c>
      <c r="E64" s="44">
        <f t="shared" si="21"/>
        <v>1382.0437548109753</v>
      </c>
      <c r="F64" s="44">
        <f t="shared" si="21"/>
        <v>1505.1781908246951</v>
      </c>
      <c r="G64" s="44">
        <f t="shared" si="21"/>
        <v>1633.9795809317832</v>
      </c>
      <c r="H64" s="44">
        <f t="shared" si="21"/>
        <v>1722.2236293358781</v>
      </c>
      <c r="I64" s="44">
        <f t="shared" si="21"/>
        <v>1843.4736006868914</v>
      </c>
      <c r="J64" s="44">
        <f t="shared" si="21"/>
        <v>1913.6759469465155</v>
      </c>
      <c r="K64" s="44">
        <f t="shared" si="21"/>
        <v>1986.2815548853146</v>
      </c>
      <c r="L64" s="190"/>
    </row>
    <row r="65" spans="1:12" ht="15" customHeight="1" x14ac:dyDescent="0.2">
      <c r="A65" s="50" t="s">
        <v>1110</v>
      </c>
      <c r="B65" s="51">
        <f t="shared" ref="B65:K65" si="22">IF(B26&gt;0,B61*B30/B26,0)</f>
        <v>938.84878048780479</v>
      </c>
      <c r="C65" s="51">
        <f t="shared" si="22"/>
        <v>794.87866331707255</v>
      </c>
      <c r="D65" s="51">
        <f t="shared" si="22"/>
        <v>1081.8241682682922</v>
      </c>
      <c r="E65" s="51">
        <f t="shared" si="22"/>
        <v>812.28927933536568</v>
      </c>
      <c r="F65" s="51">
        <f t="shared" si="22"/>
        <v>847.59313600457256</v>
      </c>
      <c r="G65" s="51">
        <f t="shared" si="22"/>
        <v>1002.8814434584594</v>
      </c>
      <c r="H65" s="51">
        <f t="shared" si="22"/>
        <v>1044.5558967673383</v>
      </c>
      <c r="I65" s="51">
        <f t="shared" si="22"/>
        <v>713.65715204310141</v>
      </c>
      <c r="J65" s="51">
        <f t="shared" si="22"/>
        <v>581.96282612753066</v>
      </c>
      <c r="K65" s="51">
        <f t="shared" si="22"/>
        <v>447.86523853278487</v>
      </c>
      <c r="L65" s="190"/>
    </row>
    <row r="66" spans="1:12" ht="15" customHeight="1" x14ac:dyDescent="0.2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1:12" ht="15" customHeight="1" x14ac:dyDescent="0.2">
      <c r="A67" s="266" t="s">
        <v>554</v>
      </c>
      <c r="B67" s="239">
        <f>MIN(B22*Assumptions!$B$287*Assumptions!$B$315,Assumptions!C189*Assumptions!$B$315,Assumptions!$D$43*Assumptions!$B$315)</f>
        <v>517.94959349593489</v>
      </c>
      <c r="C67" s="239">
        <f>MIN(C22*Assumptions!$B$287*Assumptions!$B$315,Assumptions!D189*Assumptions!$B$315,Assumptions!$D$43*Assumptions!$B$315)</f>
        <v>821.02926829268279</v>
      </c>
      <c r="D67" s="239">
        <f>MIN(D22*Assumptions!$B$287*Assumptions!$B$315,Assumptions!E189*Assumptions!$B$315,Assumptions!$D$43*Assumptions!$B$315)</f>
        <v>1124.1089430894306</v>
      </c>
      <c r="E67" s="239">
        <f>MIN(E22*Assumptions!$B$287*Assumptions!$B$315,Assumptions!F189*Assumptions!$B$315,Assumptions!$D$43*Assumptions!$B$315)</f>
        <v>1253.0308943089428</v>
      </c>
      <c r="F67" s="239">
        <f>MIN(F22*Assumptions!$B$287*Assumptions!$B$315,Assumptions!G189*Assumptions!$B$315,Assumptions!$D$43*Assumptions!$B$315)</f>
        <v>1381.9528455284551</v>
      </c>
      <c r="G67" s="239">
        <f>MIN(G22*Assumptions!$B$287*Assumptions!$B$315,Assumptions!H189*Assumptions!$B$315,Assumptions!$D$43*Assumptions!$B$315)</f>
        <v>1556.1105691056907</v>
      </c>
      <c r="H67" s="239">
        <f>MIN(H22*Assumptions!$B$287*Assumptions!$B$315,Assumptions!I189*Assumptions!$B$315,Assumptions!$D$43*Assumptions!$B$315)</f>
        <v>1728.0065040650402</v>
      </c>
      <c r="I67" s="239">
        <f>MIN(I22*Assumptions!$B$287*Assumptions!$B$315,Assumptions!J189*Assumptions!$B$315,Assumptions!$D$43*Assumptions!$B$315)</f>
        <v>1728.00650406504</v>
      </c>
      <c r="J67" s="239">
        <f>MIN(J22*Assumptions!$B$287*Assumptions!$B$315,Assumptions!K189*Assumptions!$B$315,Assumptions!$D$43*Assumptions!$B$315)</f>
        <v>1728.0065040650402</v>
      </c>
      <c r="K67" s="239">
        <f>MIN(K22*Assumptions!$B$287*Assumptions!$B$315,Assumptions!L189*Assumptions!$B$315,Assumptions!$D$43*Assumptions!$B$315)</f>
        <v>1728.0065040650402</v>
      </c>
      <c r="L67" s="190"/>
    </row>
    <row r="68" spans="1:12" ht="15" customHeight="1" x14ac:dyDescent="0.2">
      <c r="A68" s="222" t="s">
        <v>1107</v>
      </c>
      <c r="B68" s="239">
        <f>B67/Assumptions!$B$256</f>
        <v>207.17983739837396</v>
      </c>
      <c r="C68" s="239">
        <f>C67/Assumptions!$B$256</f>
        <v>328.41170731707314</v>
      </c>
      <c r="D68" s="239">
        <f>D67/Assumptions!$B$256</f>
        <v>449.64357723577223</v>
      </c>
      <c r="E68" s="239">
        <f>E67/Assumptions!$B$256</f>
        <v>501.21235772357716</v>
      </c>
      <c r="F68" s="239">
        <f>F67/Assumptions!$B$256</f>
        <v>552.78113821138209</v>
      </c>
      <c r="G68" s="239">
        <f>G67/Assumptions!$B$256</f>
        <v>622.44422764227625</v>
      </c>
      <c r="H68" s="239">
        <f>H67/Assumptions!$B$256</f>
        <v>691.20260162601608</v>
      </c>
      <c r="I68" s="239">
        <f>I67/Assumptions!$B$256</f>
        <v>691.20260162601596</v>
      </c>
      <c r="J68" s="239">
        <f>J67/Assumptions!$B$256</f>
        <v>691.20260162601608</v>
      </c>
      <c r="K68" s="239">
        <f>K67/Assumptions!$B$256</f>
        <v>691.20260162601608</v>
      </c>
      <c r="L68" s="190"/>
    </row>
    <row r="69" spans="1:12" ht="15" customHeight="1" x14ac:dyDescent="0.2">
      <c r="A69" s="47" t="s">
        <v>1108</v>
      </c>
      <c r="B69" s="122">
        <f t="shared" ref="B69:K69" si="23">IF(B26&gt;0,B67*B27/B26,0)</f>
        <v>0</v>
      </c>
      <c r="C69" s="122">
        <f t="shared" si="23"/>
        <v>226.86192195121953</v>
      </c>
      <c r="D69" s="122">
        <f t="shared" si="23"/>
        <v>370.28419999999994</v>
      </c>
      <c r="E69" s="122">
        <f t="shared" si="23"/>
        <v>521.58654959349576</v>
      </c>
      <c r="F69" s="122">
        <f t="shared" si="23"/>
        <v>597.69573658536581</v>
      </c>
      <c r="G69" s="122">
        <f t="shared" si="23"/>
        <v>677.15689430894304</v>
      </c>
      <c r="H69" s="122">
        <f t="shared" si="23"/>
        <v>773.25512288037157</v>
      </c>
      <c r="I69" s="122">
        <f t="shared" si="23"/>
        <v>845.60004738675957</v>
      </c>
      <c r="J69" s="122">
        <f t="shared" si="23"/>
        <v>866.81950197444826</v>
      </c>
      <c r="K69" s="122">
        <f t="shared" si="23"/>
        <v>888.03895656213706</v>
      </c>
      <c r="L69" s="190"/>
    </row>
    <row r="70" spans="1:12" ht="15" customHeight="1" x14ac:dyDescent="0.2">
      <c r="A70" s="43" t="s">
        <v>1109</v>
      </c>
      <c r="B70" s="44">
        <f t="shared" ref="B70:K70" si="24">IF(B26&gt;0,B67*(B29+B28)/B26,0)</f>
        <v>205</v>
      </c>
      <c r="C70" s="44">
        <f t="shared" si="24"/>
        <v>329.207791902439</v>
      </c>
      <c r="D70" s="44">
        <f t="shared" si="24"/>
        <v>393.21668699999998</v>
      </c>
      <c r="E70" s="44">
        <f t="shared" si="24"/>
        <v>460.6812516036585</v>
      </c>
      <c r="F70" s="44">
        <f t="shared" si="24"/>
        <v>501.72606360823181</v>
      </c>
      <c r="G70" s="44">
        <f t="shared" si="24"/>
        <v>544.65986031059447</v>
      </c>
      <c r="H70" s="44">
        <f t="shared" si="24"/>
        <v>594.29939151427754</v>
      </c>
      <c r="I70" s="44">
        <f t="shared" si="24"/>
        <v>636.13994170044452</v>
      </c>
      <c r="J70" s="44">
        <f t="shared" si="24"/>
        <v>660.36514158407294</v>
      </c>
      <c r="K70" s="44">
        <f t="shared" si="24"/>
        <v>685.41965127930439</v>
      </c>
      <c r="L70" s="190"/>
    </row>
    <row r="71" spans="1:12" ht="15" customHeight="1" x14ac:dyDescent="0.2">
      <c r="A71" s="50" t="s">
        <v>1110</v>
      </c>
      <c r="B71" s="51">
        <f t="shared" ref="B71:K71" si="25">IF(B26&gt;0,B67*B30/B26,0)</f>
        <v>312.94959349593489</v>
      </c>
      <c r="C71" s="51">
        <f t="shared" si="25"/>
        <v>264.9595544390242</v>
      </c>
      <c r="D71" s="51">
        <f t="shared" si="25"/>
        <v>360.6080560894307</v>
      </c>
      <c r="E71" s="51">
        <f t="shared" si="25"/>
        <v>270.76309311178858</v>
      </c>
      <c r="F71" s="51">
        <f t="shared" si="25"/>
        <v>282.53104533485754</v>
      </c>
      <c r="G71" s="51">
        <f t="shared" si="25"/>
        <v>334.29381448615317</v>
      </c>
      <c r="H71" s="51">
        <f t="shared" si="25"/>
        <v>360.45198967039119</v>
      </c>
      <c r="I71" s="51">
        <f t="shared" si="25"/>
        <v>246.26651497783612</v>
      </c>
      <c r="J71" s="51">
        <f t="shared" si="25"/>
        <v>200.8218605065191</v>
      </c>
      <c r="K71" s="51">
        <f t="shared" si="25"/>
        <v>154.54789622359868</v>
      </c>
    </row>
    <row r="72" spans="1:12" ht="15" customHeight="1" x14ac:dyDescent="0.2"/>
    <row r="73" spans="1:12" ht="15" customHeight="1" x14ac:dyDescent="0.2">
      <c r="A73" s="266" t="s">
        <v>555</v>
      </c>
      <c r="B73" s="239">
        <f>MIN(B22*Assumptions!$B$287*Assumptions!$B$316,Assumptions!C189*Assumptions!$B$316,Assumptions!$D$43*Assumptions!$B$316)</f>
        <v>517.94959349593489</v>
      </c>
      <c r="C73" s="239">
        <f>MIN(C22*Assumptions!$B$287*Assumptions!$B$316,Assumptions!D189*Assumptions!$B$316,Assumptions!$D$43*Assumptions!$B$316)</f>
        <v>821.02926829268279</v>
      </c>
      <c r="D73" s="239">
        <f>MIN(D22*Assumptions!$B$287*Assumptions!$B$316,Assumptions!E189*Assumptions!$B$316,Assumptions!$D$43*Assumptions!$B$316)</f>
        <v>1124.1089430894306</v>
      </c>
      <c r="E73" s="239">
        <f>MIN(E22*Assumptions!$B$287*Assumptions!$B$316,Assumptions!F189*Assumptions!$B$316,Assumptions!$D$43*Assumptions!$B$316)</f>
        <v>1253.0308943089428</v>
      </c>
      <c r="F73" s="239">
        <f>MIN(F22*Assumptions!$B$287*Assumptions!$B$316,Assumptions!G189*Assumptions!$B$316,Assumptions!$D$43*Assumptions!$B$316)</f>
        <v>1381.9528455284551</v>
      </c>
      <c r="G73" s="239">
        <f>MIN(G22*Assumptions!$B$287*Assumptions!$B$316,Assumptions!H189*Assumptions!$B$316,Assumptions!$D$43*Assumptions!$B$316)</f>
        <v>1556.1105691056907</v>
      </c>
      <c r="H73" s="239">
        <f>MIN(H22*Assumptions!$B$287*Assumptions!$B$316,Assumptions!I189*Assumptions!$B$316,Assumptions!$D$43*Assumptions!$B$316)</f>
        <v>1728.0065040650402</v>
      </c>
      <c r="I73" s="239">
        <f>MIN(I22*Assumptions!$B$287*Assumptions!$B$316,Assumptions!J189*Assumptions!$B$316,Assumptions!$D$43*Assumptions!$B$316)</f>
        <v>1728.00650406504</v>
      </c>
      <c r="J73" s="239">
        <f>MIN(J22*Assumptions!$B$287*Assumptions!$B$316,Assumptions!K189*Assumptions!$B$316,Assumptions!$D$43*Assumptions!$B$316)</f>
        <v>1728.0065040650402</v>
      </c>
      <c r="K73" s="239">
        <f>MIN(K22*Assumptions!$B$287*Assumptions!$B$316,Assumptions!L189*Assumptions!$B$316,Assumptions!$D$43*Assumptions!$B$316)</f>
        <v>1728.0065040650402</v>
      </c>
    </row>
    <row r="74" spans="1:12" ht="15" customHeight="1" x14ac:dyDescent="0.2">
      <c r="A74" t="s">
        <v>1107</v>
      </c>
      <c r="B74" s="392">
        <f>B73/Assumptions!$B$256</f>
        <v>207.17983739837396</v>
      </c>
      <c r="C74" s="392">
        <f>C73/Assumptions!$B$256</f>
        <v>328.41170731707314</v>
      </c>
      <c r="D74" s="392">
        <f>D73/Assumptions!$B$256</f>
        <v>449.64357723577223</v>
      </c>
      <c r="E74" s="392">
        <f>E73/Assumptions!$B$256</f>
        <v>501.21235772357716</v>
      </c>
      <c r="F74" s="392">
        <f>F73/Assumptions!$B$256</f>
        <v>552.78113821138209</v>
      </c>
      <c r="G74" s="392">
        <f>G73/Assumptions!$B$256</f>
        <v>622.44422764227625</v>
      </c>
      <c r="H74" s="392">
        <f>H73/Assumptions!$B$256</f>
        <v>691.20260162601608</v>
      </c>
      <c r="I74" s="392">
        <f>I73/Assumptions!$B$256</f>
        <v>691.20260162601596</v>
      </c>
      <c r="J74" s="392">
        <f>J73/Assumptions!$B$256</f>
        <v>691.20260162601608</v>
      </c>
      <c r="K74" s="392">
        <f>K73/Assumptions!$B$256</f>
        <v>691.20260162601608</v>
      </c>
    </row>
    <row r="75" spans="1:12" ht="15" customHeight="1" x14ac:dyDescent="0.2">
      <c r="A75" t="s">
        <v>1108</v>
      </c>
      <c r="B75" s="392">
        <f t="shared" ref="B75:K75" si="26">IF(B26&gt;0,B73*B27/B26,0)</f>
        <v>0</v>
      </c>
      <c r="C75" s="392">
        <f t="shared" si="26"/>
        <v>226.86192195121953</v>
      </c>
      <c r="D75" s="392">
        <f t="shared" si="26"/>
        <v>370.28419999999994</v>
      </c>
      <c r="E75" s="392">
        <f t="shared" si="26"/>
        <v>521.58654959349576</v>
      </c>
      <c r="F75" s="392">
        <f t="shared" si="26"/>
        <v>597.69573658536581</v>
      </c>
      <c r="G75" s="392">
        <f t="shared" si="26"/>
        <v>677.15689430894304</v>
      </c>
      <c r="H75" s="392">
        <f t="shared" si="26"/>
        <v>773.25512288037157</v>
      </c>
      <c r="I75" s="392">
        <f t="shared" si="26"/>
        <v>845.60004738675957</v>
      </c>
      <c r="J75" s="392">
        <f t="shared" si="26"/>
        <v>866.81950197444826</v>
      </c>
      <c r="K75" s="392">
        <f t="shared" si="26"/>
        <v>888.03895656213706</v>
      </c>
    </row>
    <row r="76" spans="1:12" ht="15" customHeight="1" x14ac:dyDescent="0.2">
      <c r="A76" t="s">
        <v>1109</v>
      </c>
      <c r="B76" s="392">
        <f t="shared" ref="B76:K76" si="27">IF(B26&gt;0,B73*(B29+B28)/B26,0)</f>
        <v>205</v>
      </c>
      <c r="C76" s="392">
        <f t="shared" si="27"/>
        <v>329.207791902439</v>
      </c>
      <c r="D76" s="392">
        <f t="shared" si="27"/>
        <v>393.21668699999998</v>
      </c>
      <c r="E76" s="392">
        <f t="shared" si="27"/>
        <v>460.6812516036585</v>
      </c>
      <c r="F76" s="392">
        <f t="shared" si="27"/>
        <v>501.72606360823181</v>
      </c>
      <c r="G76" s="392">
        <f t="shared" si="27"/>
        <v>544.65986031059447</v>
      </c>
      <c r="H76" s="392">
        <f t="shared" si="27"/>
        <v>594.29939151427754</v>
      </c>
      <c r="I76" s="392">
        <f t="shared" si="27"/>
        <v>636.13994170044452</v>
      </c>
      <c r="J76" s="392">
        <f t="shared" si="27"/>
        <v>660.36514158407294</v>
      </c>
      <c r="K76" s="392">
        <f t="shared" si="27"/>
        <v>685.41965127930439</v>
      </c>
    </row>
    <row r="77" spans="1:12" ht="15" customHeight="1" x14ac:dyDescent="0.2">
      <c r="A77" t="s">
        <v>1110</v>
      </c>
      <c r="B77" s="392">
        <f t="shared" ref="B77:K77" si="28">IF(B26&gt;0,B73*B30/B26,0)</f>
        <v>312.94959349593489</v>
      </c>
      <c r="C77" s="392">
        <f t="shared" si="28"/>
        <v>264.9595544390242</v>
      </c>
      <c r="D77" s="392">
        <f t="shared" si="28"/>
        <v>360.6080560894307</v>
      </c>
      <c r="E77" s="392">
        <f t="shared" si="28"/>
        <v>270.76309311178858</v>
      </c>
      <c r="F77" s="392">
        <f t="shared" si="28"/>
        <v>282.53104533485754</v>
      </c>
      <c r="G77" s="392">
        <f t="shared" si="28"/>
        <v>334.29381448615317</v>
      </c>
      <c r="H77" s="392">
        <f t="shared" si="28"/>
        <v>360.45198967039119</v>
      </c>
      <c r="I77" s="392">
        <f t="shared" si="28"/>
        <v>246.26651497783612</v>
      </c>
      <c r="J77" s="392">
        <f t="shared" si="28"/>
        <v>200.8218605065191</v>
      </c>
      <c r="K77" s="392">
        <f t="shared" si="28"/>
        <v>154.54789622359868</v>
      </c>
    </row>
    <row r="78" spans="1:12" ht="15" customHeight="1" x14ac:dyDescent="0.2"/>
    <row r="79" spans="1:12" ht="15" customHeight="1" x14ac:dyDescent="0.2">
      <c r="A79" s="266" t="s">
        <v>149</v>
      </c>
      <c r="B79" s="239">
        <f>MIN(B22*Assumptions!$B$288,MIN(Assumptions!C188,Assumptions!$D$42))</f>
        <v>2900.5177235772358</v>
      </c>
      <c r="C79" s="239">
        <f>MIN(C22*Assumptions!$B$288,MIN(Assumptions!D188,Assumptions!$D$42))</f>
        <v>4597.7639024390237</v>
      </c>
      <c r="D79" s="239">
        <f>MIN(D22*Assumptions!$B$288,MIN(Assumptions!E188,Assumptions!$D$42))</f>
        <v>6295.0100813008121</v>
      </c>
      <c r="E79" s="239">
        <f>MIN(E22*Assumptions!$B$288,MIN(Assumptions!F188,Assumptions!$D$42))</f>
        <v>7016.9730081300804</v>
      </c>
      <c r="F79" s="239">
        <f>MIN(F22*Assumptions!$B$288,MIN(Assumptions!G188,Assumptions!$D$42))</f>
        <v>7738.9359349593487</v>
      </c>
      <c r="G79" s="239">
        <f>MIN(G22*Assumptions!$B$288,MIN(Assumptions!H188,Assumptions!$D$42))</f>
        <v>8346</v>
      </c>
      <c r="H79" s="239">
        <f>MIN(H22*Assumptions!$B$288,MIN(Assumptions!I188,Assumptions!$D$42))</f>
        <v>8346</v>
      </c>
      <c r="I79" s="239">
        <f>MIN(I22*Assumptions!$B$288,MIN(Assumptions!J188,Assumptions!$D$42))</f>
        <v>8346</v>
      </c>
      <c r="J79" s="239">
        <f>MIN(J22*Assumptions!$B$288,MIN(Assumptions!K188,Assumptions!$D$42))</f>
        <v>8346</v>
      </c>
      <c r="K79" s="239">
        <f>MIN(K22*Assumptions!$B$288,MIN(Assumptions!L188,Assumptions!$D$42))</f>
        <v>8346</v>
      </c>
    </row>
    <row r="80" spans="1:12" ht="15" customHeight="1" x14ac:dyDescent="0.2">
      <c r="A80" s="222" t="s">
        <v>1107</v>
      </c>
      <c r="B80" s="239">
        <f>B79/Assumptions!$B$257</f>
        <v>414.35967479674798</v>
      </c>
      <c r="C80" s="239">
        <f>C79/Assumptions!$B$257</f>
        <v>656.82341463414627</v>
      </c>
      <c r="D80" s="239">
        <f>D79/Assumptions!$B$257</f>
        <v>899.28715447154457</v>
      </c>
      <c r="E80" s="239">
        <f>E79/Assumptions!$B$257</f>
        <v>1002.4247154471543</v>
      </c>
      <c r="F80" s="239">
        <f>F79/Assumptions!$B$257</f>
        <v>1105.5622764227642</v>
      </c>
      <c r="G80" s="239">
        <f>G79/Assumptions!$B$257</f>
        <v>1192.2857142857142</v>
      </c>
      <c r="H80" s="239">
        <f>H79/Assumptions!$B$257</f>
        <v>1192.2857142857142</v>
      </c>
      <c r="I80" s="239">
        <f>I79/Assumptions!$B$257</f>
        <v>1192.2857142857142</v>
      </c>
      <c r="J80" s="239">
        <f>J79/Assumptions!$B$257</f>
        <v>1192.2857142857142</v>
      </c>
      <c r="K80" s="239">
        <f>K79/Assumptions!$B$257</f>
        <v>1192.2857142857142</v>
      </c>
    </row>
    <row r="81" spans="1:11" ht="15" customHeight="1" x14ac:dyDescent="0.2">
      <c r="A81" s="47" t="s">
        <v>1108</v>
      </c>
      <c r="B81" s="122">
        <f t="shared" ref="B81:K81" si="29">IF(B26&gt;0,B79*B27/B26,0)</f>
        <v>0</v>
      </c>
      <c r="C81" s="122">
        <f t="shared" si="29"/>
        <v>1270.4267629268295</v>
      </c>
      <c r="D81" s="122">
        <f t="shared" si="29"/>
        <v>2073.5915199999999</v>
      </c>
      <c r="E81" s="122">
        <f t="shared" si="29"/>
        <v>2920.8846777235767</v>
      </c>
      <c r="F81" s="122">
        <f t="shared" si="29"/>
        <v>3347.0961248780486</v>
      </c>
      <c r="G81" s="122">
        <f t="shared" si="29"/>
        <v>3631.8443895348842</v>
      </c>
      <c r="H81" s="122">
        <f t="shared" si="29"/>
        <v>3734.700789827973</v>
      </c>
      <c r="I81" s="122">
        <f t="shared" si="29"/>
        <v>4084.1154121166805</v>
      </c>
      <c r="J81" s="122">
        <f t="shared" si="29"/>
        <v>4186.6020448765903</v>
      </c>
      <c r="K81" s="122">
        <f t="shared" si="29"/>
        <v>4289.0886776365005</v>
      </c>
    </row>
    <row r="82" spans="1:11" ht="15" customHeight="1" x14ac:dyDescent="0.2">
      <c r="A82" s="43" t="s">
        <v>1109</v>
      </c>
      <c r="B82" s="44">
        <f t="shared" ref="B82:K82" si="30">IF(B26&gt;0,B79*(B29+B28)/B26,0)</f>
        <v>1148</v>
      </c>
      <c r="C82" s="44">
        <f t="shared" si="30"/>
        <v>1843.5636346536585</v>
      </c>
      <c r="D82" s="44">
        <f t="shared" si="30"/>
        <v>2202.0134472000004</v>
      </c>
      <c r="E82" s="44">
        <f t="shared" si="30"/>
        <v>2579.8150089804881</v>
      </c>
      <c r="F82" s="44">
        <f t="shared" si="30"/>
        <v>2809.6659562060981</v>
      </c>
      <c r="G82" s="44">
        <f t="shared" si="30"/>
        <v>2921.2134949797878</v>
      </c>
      <c r="H82" s="44">
        <f t="shared" si="30"/>
        <v>2870.3727155597967</v>
      </c>
      <c r="I82" s="44">
        <f t="shared" si="30"/>
        <v>3072.4560011448184</v>
      </c>
      <c r="J82" s="44">
        <f t="shared" si="30"/>
        <v>3189.4599115775259</v>
      </c>
      <c r="K82" s="44">
        <f t="shared" si="30"/>
        <v>3310.4692581421909</v>
      </c>
    </row>
    <row r="83" spans="1:11" ht="15" customHeight="1" x14ac:dyDescent="0.2">
      <c r="A83" s="50" t="s">
        <v>1110</v>
      </c>
      <c r="B83" s="51">
        <f t="shared" ref="B83:K83" si="31">IF(B26&gt;0,B79*B30/B26,0)</f>
        <v>1752.5177235772355</v>
      </c>
      <c r="C83" s="51">
        <f t="shared" si="31"/>
        <v>1483.7735048585355</v>
      </c>
      <c r="D83" s="51">
        <f t="shared" si="31"/>
        <v>2019.4051141008124</v>
      </c>
      <c r="E83" s="51">
        <f t="shared" si="31"/>
        <v>1516.2733214260161</v>
      </c>
      <c r="F83" s="51">
        <f t="shared" si="31"/>
        <v>1582.1738538752022</v>
      </c>
      <c r="G83" s="51">
        <f t="shared" si="31"/>
        <v>1792.9421154853276</v>
      </c>
      <c r="H83" s="51">
        <f t="shared" si="31"/>
        <v>1740.92649461223</v>
      </c>
      <c r="I83" s="51">
        <f t="shared" si="31"/>
        <v>1189.4285867385024</v>
      </c>
      <c r="J83" s="51">
        <f t="shared" si="31"/>
        <v>969.93804354588451</v>
      </c>
      <c r="K83" s="51">
        <f t="shared" si="31"/>
        <v>746.44206422130799</v>
      </c>
    </row>
    <row r="84" spans="1:11" ht="15" customHeight="1" x14ac:dyDescent="0.2"/>
    <row r="85" spans="1:11" ht="15" customHeight="1" x14ac:dyDescent="0.2">
      <c r="A85" s="26" t="s">
        <v>1111</v>
      </c>
      <c r="B85" s="27">
        <f t="shared" ref="B85:K85" si="32">B55+B61+B67+B73+B79</f>
        <v>12741.559999999998</v>
      </c>
      <c r="C85" s="27">
        <f t="shared" si="32"/>
        <v>20197.319999999996</v>
      </c>
      <c r="D85" s="27">
        <f t="shared" si="32"/>
        <v>27653.079999999994</v>
      </c>
      <c r="E85" s="27">
        <f t="shared" si="32"/>
        <v>30824.559999999998</v>
      </c>
      <c r="F85" s="27">
        <f t="shared" si="32"/>
        <v>33996.039999999994</v>
      </c>
      <c r="G85" s="27">
        <f t="shared" si="32"/>
        <v>37912.100813008125</v>
      </c>
      <c r="H85" s="27">
        <f t="shared" si="32"/>
        <v>41001.704065040649</v>
      </c>
      <c r="I85" s="27">
        <f t="shared" si="32"/>
        <v>41001.704065040642</v>
      </c>
      <c r="J85" s="27">
        <f t="shared" si="32"/>
        <v>41001.704065040649</v>
      </c>
      <c r="K85" s="27">
        <f t="shared" si="32"/>
        <v>41001.704065040649</v>
      </c>
    </row>
    <row r="86" spans="1:11" ht="15" customHeight="1" x14ac:dyDescent="0.2">
      <c r="A86" s="47" t="s">
        <v>1112</v>
      </c>
      <c r="B86" s="122">
        <f t="shared" ref="B86:K86" si="33">B57+B63+B69+B75+B81</f>
        <v>0</v>
      </c>
      <c r="C86" s="122">
        <f t="shared" si="33"/>
        <v>5580.8032800000001</v>
      </c>
      <c r="D86" s="122">
        <f t="shared" si="33"/>
        <v>9108.991320000001</v>
      </c>
      <c r="E86" s="122">
        <f t="shared" si="33"/>
        <v>12831.029119999996</v>
      </c>
      <c r="F86" s="122">
        <f t="shared" si="33"/>
        <v>14703.315119999996</v>
      </c>
      <c r="G86" s="122">
        <f t="shared" si="33"/>
        <v>16497.8253814048</v>
      </c>
      <c r="H86" s="122">
        <f t="shared" si="33"/>
        <v>18347.603229810698</v>
      </c>
      <c r="I86" s="122">
        <f t="shared" si="33"/>
        <v>20064.185417574841</v>
      </c>
      <c r="J86" s="122">
        <f t="shared" si="33"/>
        <v>20567.67530339372</v>
      </c>
      <c r="K86" s="122">
        <f t="shared" si="33"/>
        <v>21071.165189212592</v>
      </c>
    </row>
    <row r="87" spans="1:11" ht="15" customHeight="1" x14ac:dyDescent="0.2">
      <c r="A87" s="43" t="s">
        <v>1113</v>
      </c>
      <c r="B87" s="136">
        <f t="shared" ref="B87:K87" si="34">B58+B64+B70+B76+B82</f>
        <v>5043</v>
      </c>
      <c r="C87" s="136">
        <f t="shared" si="34"/>
        <v>8098.5116807999993</v>
      </c>
      <c r="D87" s="136">
        <f t="shared" si="34"/>
        <v>9673.1305002000008</v>
      </c>
      <c r="E87" s="136">
        <f t="shared" si="34"/>
        <v>11332.758789449999</v>
      </c>
      <c r="F87" s="136">
        <f t="shared" si="34"/>
        <v>12342.461164762501</v>
      </c>
      <c r="G87" s="136">
        <f t="shared" si="34"/>
        <v>13269.750840881081</v>
      </c>
      <c r="H87" s="136">
        <f t="shared" si="34"/>
        <v>14101.386609124118</v>
      </c>
      <c r="I87" s="136">
        <f t="shared" si="34"/>
        <v>15094.168669038823</v>
      </c>
      <c r="J87" s="136">
        <f t="shared" si="34"/>
        <v>15668.978123869209</v>
      </c>
      <c r="K87" s="136">
        <f t="shared" si="34"/>
        <v>16263.465233496376</v>
      </c>
    </row>
    <row r="88" spans="1:11" ht="15" customHeight="1" x14ac:dyDescent="0.2">
      <c r="A88" s="50" t="s">
        <v>1114</v>
      </c>
      <c r="B88" s="137">
        <f t="shared" ref="B88:K88" si="35">B59+B65+B71+B77+B83</f>
        <v>7698.5599999999995</v>
      </c>
      <c r="C88" s="137">
        <f t="shared" si="35"/>
        <v>6518.0050391999948</v>
      </c>
      <c r="D88" s="137">
        <f t="shared" si="35"/>
        <v>8870.9581797999963</v>
      </c>
      <c r="E88" s="137">
        <f t="shared" si="35"/>
        <v>6660.7720905499982</v>
      </c>
      <c r="F88" s="137">
        <f t="shared" si="35"/>
        <v>6950.2637152374955</v>
      </c>
      <c r="G88" s="137">
        <f t="shared" si="35"/>
        <v>8144.5245907222361</v>
      </c>
      <c r="H88" s="137">
        <f t="shared" si="35"/>
        <v>8552.714226105827</v>
      </c>
      <c r="I88" s="137">
        <f t="shared" si="35"/>
        <v>5843.3499784269816</v>
      </c>
      <c r="J88" s="137">
        <f t="shared" si="35"/>
        <v>4765.050637777721</v>
      </c>
      <c r="K88" s="137">
        <f t="shared" si="35"/>
        <v>3667.0736423316725</v>
      </c>
    </row>
    <row r="89" spans="1:11" ht="15" customHeight="1" x14ac:dyDescent="0.2"/>
    <row r="90" spans="1:11" ht="15" customHeight="1" x14ac:dyDescent="0.2">
      <c r="A90" s="238" t="s">
        <v>1115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spans="1:11" ht="15" customHeight="1" x14ac:dyDescent="0.2">
      <c r="A91" s="21" t="s">
        <v>406</v>
      </c>
      <c r="B91" s="22" t="s">
        <v>23</v>
      </c>
      <c r="C91" s="22" t="s">
        <v>24</v>
      </c>
      <c r="D91" s="22" t="s">
        <v>25</v>
      </c>
      <c r="E91" s="22" t="s">
        <v>26</v>
      </c>
      <c r="F91" s="22" t="s">
        <v>27</v>
      </c>
      <c r="G91" s="22" t="s">
        <v>28</v>
      </c>
      <c r="H91" s="22" t="s">
        <v>29</v>
      </c>
      <c r="I91" s="22" t="s">
        <v>30</v>
      </c>
      <c r="J91" s="22" t="s">
        <v>31</v>
      </c>
      <c r="K91" s="22" t="s">
        <v>32</v>
      </c>
    </row>
    <row r="92" spans="1:11" ht="15" customHeight="1" x14ac:dyDescent="0.2">
      <c r="A92" s="50" t="s">
        <v>1116</v>
      </c>
      <c r="B92" s="51">
        <f>Assumptions!$B$262*B30</f>
        <v>1502158.0487804874</v>
      </c>
      <c r="C92" s="51">
        <f>Assumptions!$B$262*C30</f>
        <v>1271805.861307316</v>
      </c>
      <c r="D92" s="51">
        <f>Assumptions!$B$262*D30</f>
        <v>1730918.6692292674</v>
      </c>
      <c r="E92" s="51">
        <f>Assumptions!$B$262*E30</f>
        <v>1299662.8469365851</v>
      </c>
      <c r="F92" s="51">
        <f>Assumptions!$B$262*F30</f>
        <v>1356149.0176073159</v>
      </c>
      <c r="G92" s="51">
        <f>Assumptions!$B$262*G30</f>
        <v>1604610.3095335353</v>
      </c>
      <c r="H92" s="51">
        <f>Assumptions!$B$262*H30</f>
        <v>1730169.5504178777</v>
      </c>
      <c r="I92" s="51">
        <f>Assumptions!$B$262*I30</f>
        <v>1182079.2718936135</v>
      </c>
      <c r="J92" s="51">
        <f>Assumptions!$B$262*J30</f>
        <v>963944.93043129169</v>
      </c>
      <c r="K92" s="51">
        <f>Assumptions!$B$262*K30</f>
        <v>741829.90187327366</v>
      </c>
    </row>
    <row r="93" spans="1:11" ht="15" customHeight="1" x14ac:dyDescent="0.2">
      <c r="A93" s="47" t="s">
        <v>1117</v>
      </c>
      <c r="B93" s="138">
        <f>Assumptions!$B$263*B27</f>
        <v>0</v>
      </c>
      <c r="C93" s="138">
        <f>Assumptions!$B$263*C27</f>
        <v>181489.53756097559</v>
      </c>
      <c r="D93" s="138">
        <f>Assumptions!$B$263*D27</f>
        <v>296227.35999999993</v>
      </c>
      <c r="E93" s="138">
        <f>Assumptions!$B$263*E27</f>
        <v>417269.23967479658</v>
      </c>
      <c r="F93" s="138">
        <f>Assumptions!$B$263*F27</f>
        <v>478156.58926829253</v>
      </c>
      <c r="G93" s="138">
        <f>Assumptions!$B$263*G27</f>
        <v>541725.51544715441</v>
      </c>
      <c r="H93" s="138">
        <f>Assumptions!$B$263*H27</f>
        <v>618604.09830429719</v>
      </c>
      <c r="I93" s="138">
        <f>Assumptions!$B$263*I27</f>
        <v>676480.03790940763</v>
      </c>
      <c r="J93" s="138">
        <f>Assumptions!$B$263*J27</f>
        <v>693455.60157955857</v>
      </c>
      <c r="K93" s="138">
        <f>Assumptions!$B$263*K27</f>
        <v>710431.16524970962</v>
      </c>
    </row>
    <row r="94" spans="1:11" ht="15" customHeight="1" x14ac:dyDescent="0.2">
      <c r="A94" s="222" t="s">
        <v>1118</v>
      </c>
      <c r="B94" s="223">
        <f>(Assumptions!$D$91+Assumptions!$D$92)*Revenue!B5</f>
        <v>516000</v>
      </c>
      <c r="C94" s="223">
        <f>(Assumptions!$D$91+Assumptions!$D$92)*Revenue!C5</f>
        <v>536640</v>
      </c>
      <c r="D94" s="223">
        <f>(Assumptions!$D$91+Assumptions!$D$92)*Revenue!D5</f>
        <v>558105.60000000009</v>
      </c>
      <c r="E94" s="223">
        <f>(Assumptions!$D$91+Assumptions!$D$92)*Revenue!E5</f>
        <v>580429.82400000002</v>
      </c>
      <c r="F94" s="223">
        <f>(Assumptions!$D$91+Assumptions!$D$92)*Revenue!F5</f>
        <v>603647.01696000015</v>
      </c>
      <c r="G94" s="223">
        <f>(Assumptions!$D$91+Assumptions!$D$92)*Revenue!G5</f>
        <v>627792.8976384002</v>
      </c>
      <c r="H94" s="223">
        <f>(Assumptions!$D$91+Assumptions!$D$92)*Revenue!H5</f>
        <v>652904.61354393617</v>
      </c>
      <c r="I94" s="223">
        <f>(Assumptions!$D$91+Assumptions!$D$92)*Revenue!I5</f>
        <v>679020.79808569374</v>
      </c>
      <c r="J94" s="223">
        <f>(Assumptions!$D$91+Assumptions!$D$92)*Revenue!J5</f>
        <v>706181.63000912149</v>
      </c>
      <c r="K94" s="223">
        <f>(Assumptions!$D$91+Assumptions!$D$92)*Revenue!K5</f>
        <v>734428.89520948636</v>
      </c>
    </row>
    <row r="95" spans="1:11" ht="15" customHeight="1" x14ac:dyDescent="0.2">
      <c r="A95" s="26" t="s">
        <v>1075</v>
      </c>
      <c r="B95" s="37">
        <f>MIN(B92+B93+B94,Revenue!B13*Assumptions!$B$191)</f>
        <v>1529040</v>
      </c>
      <c r="C95" s="37">
        <f>MIN(C92+C93+C94,Revenue!C13*Assumptions!$B$191)</f>
        <v>1989935.3988682916</v>
      </c>
      <c r="D95" s="37">
        <f>MIN(D92+D93+D94,Revenue!D13*Assumptions!$B$191)</f>
        <v>2585251.6292292671</v>
      </c>
      <c r="E95" s="37">
        <f>MIN(E92+E93+E94,Revenue!E13*Assumptions!$B$191)</f>
        <v>2297361.9106113818</v>
      </c>
      <c r="F95" s="37">
        <f>MIN(F92+F93+F94,Revenue!F13*Assumptions!$B$191)</f>
        <v>2437952.6238356084</v>
      </c>
      <c r="G95" s="37">
        <f>MIN(G92+G93+G94,Revenue!G13*Assumptions!$B$191)</f>
        <v>2774128.7226190898</v>
      </c>
      <c r="H95" s="37">
        <f>MIN(H92+H93+H94,Revenue!H13*Assumptions!$B$191)</f>
        <v>3001678.2622661111</v>
      </c>
      <c r="I95" s="37">
        <f>MIN(I92+I93+I94,Revenue!I13*Assumptions!$B$191)</f>
        <v>2537580.1078887149</v>
      </c>
      <c r="J95" s="37">
        <f>MIN(J92+J93+J94,Revenue!J13*Assumptions!$B$191)</f>
        <v>2363582.1620199718</v>
      </c>
      <c r="K95" s="37">
        <f>MIN(K92+K93+K94,Revenue!K13*Assumptions!$B$191)</f>
        <v>2186689.9623324694</v>
      </c>
    </row>
    <row r="96" spans="1:11" ht="15" customHeight="1" x14ac:dyDescent="0.2">
      <c r="A96" s="222" t="s">
        <v>1119</v>
      </c>
      <c r="B96" s="245">
        <f>IF(Revenue!B13&gt;0,B95/Revenue!B13,0)</f>
        <v>0.2</v>
      </c>
      <c r="C96" s="245">
        <f>IF(Revenue!C13&gt;0,C95/Revenue!C13,0)</f>
        <v>0.15885424840089182</v>
      </c>
      <c r="D96" s="245">
        <f>IF(Revenue!D13&gt;0,D95/Revenue!D13,0)</f>
        <v>0.14480331843130523</v>
      </c>
      <c r="E96" s="245">
        <f>IF(Revenue!E13&gt;0,E95/Revenue!E13,0)</f>
        <v>0.11077913957772066</v>
      </c>
      <c r="F96" s="245">
        <f>IF(Revenue!F13&gt;0,F95/Revenue!F13,0)</f>
        <v>0.10269616118124808</v>
      </c>
      <c r="G96" s="245">
        <f>IF(Revenue!G13&gt;0,G95/Revenue!G13,0)</f>
        <v>0.10033052577027063</v>
      </c>
      <c r="H96" s="245">
        <f>IF(Revenue!H13&gt;0,H95/Revenue!H13,0)</f>
        <v>9.614530117928044E-2</v>
      </c>
      <c r="I96" s="245">
        <f>IF(Revenue!I13&gt;0,I95/Revenue!I13,0)</f>
        <v>7.8153844418445778E-2</v>
      </c>
      <c r="J96" s="245">
        <f>IF(Revenue!J13&gt;0,J95/Revenue!J13,0)</f>
        <v>6.9995150098704093E-2</v>
      </c>
      <c r="K96" s="245">
        <f>IF(Revenue!K13&gt;0,K95/Revenue!K13,0)</f>
        <v>6.2266021543425247E-2</v>
      </c>
    </row>
    <row r="97" spans="1:12" ht="15" customHeight="1" x14ac:dyDescent="0.2">
      <c r="A97" s="30" t="s">
        <v>1120</v>
      </c>
      <c r="B97" s="139">
        <f>Assumptions!$B$71*Revenue!B13</f>
        <v>1146780</v>
      </c>
      <c r="C97" s="139">
        <f>Assumptions!$B$71*Revenue!C13</f>
        <v>1879020</v>
      </c>
      <c r="D97" s="139">
        <f>Assumptions!$B$71*Revenue!D13</f>
        <v>2678030.7840000005</v>
      </c>
      <c r="E97" s="139">
        <f>Assumptions!$B$71*Revenue!E13</f>
        <v>3110732.6515200008</v>
      </c>
      <c r="F97" s="139">
        <f>Assumptions!$B$71*Revenue!F13</f>
        <v>3560920.7721984</v>
      </c>
      <c r="G97" s="139">
        <f>Assumptions!$B$71*Revenue!G13</f>
        <v>4147484.578578433</v>
      </c>
      <c r="H97" s="139">
        <f>Assumptions!$B$71*Revenue!H13</f>
        <v>4683034.2597849919</v>
      </c>
      <c r="I97" s="139">
        <f>Assumptions!$B$71*Revenue!I13</f>
        <v>4870355.6301763924</v>
      </c>
      <c r="J97" s="139">
        <f>Assumptions!$B$71*Revenue!J13</f>
        <v>5065169.8553834483</v>
      </c>
      <c r="K97" s="139">
        <f>Assumptions!$B$71*Revenue!K13</f>
        <v>5267776.6495987847</v>
      </c>
    </row>
    <row r="99" spans="1:12" x14ac:dyDescent="0.2">
      <c r="A99" s="442" t="s">
        <v>1121</v>
      </c>
    </row>
    <row r="100" spans="1:12" x14ac:dyDescent="0.2">
      <c r="A100" s="405" t="s">
        <v>136</v>
      </c>
      <c r="B100" s="405" t="s">
        <v>8</v>
      </c>
      <c r="C100" s="405" t="s">
        <v>23</v>
      </c>
      <c r="D100" s="405" t="s">
        <v>24</v>
      </c>
      <c r="E100" s="405" t="s">
        <v>25</v>
      </c>
      <c r="F100" s="405" t="s">
        <v>26</v>
      </c>
      <c r="G100" s="405" t="s">
        <v>27</v>
      </c>
      <c r="H100" s="405" t="s">
        <v>28</v>
      </c>
      <c r="I100" s="405" t="s">
        <v>29</v>
      </c>
      <c r="J100" s="405" t="s">
        <v>30</v>
      </c>
      <c r="K100" s="405" t="s">
        <v>31</v>
      </c>
      <c r="L100" s="405" t="s">
        <v>32</v>
      </c>
    </row>
    <row r="101" spans="1:12" x14ac:dyDescent="0.2">
      <c r="A101" s="443" t="s">
        <v>1122</v>
      </c>
    </row>
    <row r="102" spans="1:12" x14ac:dyDescent="0.2">
      <c r="A102" t="s">
        <v>345</v>
      </c>
      <c r="B102" t="s">
        <v>1123</v>
      </c>
      <c r="C102" s="411" t="str">
        <f>""</f>
        <v/>
      </c>
      <c r="D102" s="411" t="str">
        <f>""</f>
        <v/>
      </c>
      <c r="E102" s="411" t="str">
        <f>""</f>
        <v/>
      </c>
      <c r="F102" s="411" t="str">
        <f>""</f>
        <v/>
      </c>
      <c r="G102" s="411" t="str">
        <f>""</f>
        <v/>
      </c>
      <c r="H102" s="411" t="str">
        <f>""</f>
        <v/>
      </c>
      <c r="I102" s="411" t="str">
        <f>""</f>
        <v/>
      </c>
      <c r="J102" s="411" t="str">
        <f>""</f>
        <v/>
      </c>
      <c r="K102" s="411" t="str">
        <f>""</f>
        <v/>
      </c>
      <c r="L102" s="411" t="str">
        <f>""</f>
        <v/>
      </c>
    </row>
    <row r="103" spans="1:12" x14ac:dyDescent="0.2">
      <c r="A103" t="s">
        <v>346</v>
      </c>
      <c r="B103" t="s">
        <v>1123</v>
      </c>
      <c r="C103" s="411">
        <f>IFERROR(B55/Assumptions!C186,0)</f>
        <v>0.59364822256140826</v>
      </c>
      <c r="D103" s="411">
        <f>IFERROR(C55/Assumptions!D186,0)</f>
        <v>0.94102316502092209</v>
      </c>
      <c r="E103" s="411">
        <f>IFERROR(D55/Assumptions!E186,0)</f>
        <v>0.96629858061032703</v>
      </c>
      <c r="F103" s="411">
        <f>IFERROR(E55/Assumptions!F186,0)</f>
        <v>0.9942660522980119</v>
      </c>
      <c r="G103" s="411">
        <f>IFERROR(F55/Assumptions!G186,0)</f>
        <v>0.95035562616162539</v>
      </c>
      <c r="H103" s="411">
        <f>IFERROR(G55/Assumptions!H186,0)</f>
        <v>0.94422548011822216</v>
      </c>
      <c r="I103" s="411">
        <f>IFERROR(H55/Assumptions!I186,0)</f>
        <v>0.99027782104130102</v>
      </c>
      <c r="J103" s="411">
        <f>IFERROR(I55/Assumptions!J186,0)</f>
        <v>0.99027782104130069</v>
      </c>
      <c r="K103" s="411">
        <f>IFERROR(J55/Assumptions!K186,0)</f>
        <v>0.99027782104130102</v>
      </c>
      <c r="L103" s="411">
        <f>IFERROR(K55/Assumptions!L186,0)</f>
        <v>0.93815793572333772</v>
      </c>
    </row>
    <row r="104" spans="1:12" x14ac:dyDescent="0.2">
      <c r="A104" t="s">
        <v>347</v>
      </c>
      <c r="B104" t="s">
        <v>1123</v>
      </c>
      <c r="C104" s="411">
        <f>IFERROR(B61/Assumptions!C187,0)</f>
        <v>0.57244650032707223</v>
      </c>
      <c r="D104" s="411">
        <f>IFERROR(C61/Assumptions!D187,0)</f>
        <v>0.90741519484160338</v>
      </c>
      <c r="E104" s="411">
        <f>IFERROR(D61/Assumptions!E187,0)</f>
        <v>0.93178791701710106</v>
      </c>
      <c r="F104" s="411">
        <f>IFERROR(E61/Assumptions!F187,0)</f>
        <v>0.83092234370619544</v>
      </c>
      <c r="G104" s="411">
        <f>IFERROR(F61/Assumptions!G187,0)</f>
        <v>0.91641435379871028</v>
      </c>
      <c r="H104" s="411">
        <f>IFERROR(G61/Assumptions!H187,0)</f>
        <v>0.85991963367909519</v>
      </c>
      <c r="I104" s="411">
        <f>IFERROR(H61/Assumptions!I187,0)</f>
        <v>0.92241379310344829</v>
      </c>
      <c r="J104" s="411">
        <f>IFERROR(I61/Assumptions!J187,0)</f>
        <v>0.92241379310344829</v>
      </c>
      <c r="K104" s="411">
        <f>IFERROR(J61/Assumptions!K187,0)</f>
        <v>0.92241379310344829</v>
      </c>
      <c r="L104" s="411">
        <f>IFERROR(K61/Assumptions!L187,0)</f>
        <v>0.92241379310344829</v>
      </c>
    </row>
    <row r="105" spans="1:12" x14ac:dyDescent="0.2">
      <c r="A105" t="s">
        <v>348</v>
      </c>
      <c r="B105" t="s">
        <v>1123</v>
      </c>
      <c r="C105" s="411">
        <f>IFERROR(B79/Assumptions!C188,0)</f>
        <v>0.71237786707368989</v>
      </c>
      <c r="D105" s="411">
        <f>IFERROR(C79/Assumptions!D188,0)</f>
        <v>0.84692084851882987</v>
      </c>
      <c r="E105" s="411">
        <f>IFERROR(D79/Assumptions!E188,0)</f>
        <v>0.92764663738591391</v>
      </c>
      <c r="F105" s="411">
        <f>IFERROR(E79/Assumptions!F188,0)</f>
        <v>0.86169724532494363</v>
      </c>
      <c r="G105" s="411">
        <f>IFERROR(F79/Assumptions!G188,0)</f>
        <v>0.9503556261616255</v>
      </c>
      <c r="H105" s="411">
        <f>IFERROR(G79/Assumptions!H188,0)</f>
        <v>0.87848932676518887</v>
      </c>
      <c r="I105" s="411">
        <f>IFERROR(H79/Assumptions!I188,0)</f>
        <v>0.87848932676518887</v>
      </c>
      <c r="J105" s="411">
        <f>IFERROR(I79/Assumptions!J188,0)</f>
        <v>0.87848932676518887</v>
      </c>
      <c r="K105" s="411">
        <f>IFERROR(J79/Assumptions!K188,0)</f>
        <v>0.87848932676518887</v>
      </c>
      <c r="L105" s="411">
        <f>IFERROR(K79/Assumptions!L188,0)</f>
        <v>0.87848932676518887</v>
      </c>
    </row>
    <row r="106" spans="1:12" x14ac:dyDescent="0.2">
      <c r="A106" t="s">
        <v>1124</v>
      </c>
      <c r="B106" t="s">
        <v>1123</v>
      </c>
      <c r="C106" s="411">
        <f>IFERROR((B67+B73)/Assumptions!C189,0)</f>
        <v>0.22897860013082885</v>
      </c>
      <c r="D106" s="411">
        <f>IFERROR((C67+C73)/Assumptions!D189,0)</f>
        <v>0.36296607793664137</v>
      </c>
      <c r="E106" s="411">
        <f>IFERROR((D67+D73)/Assumptions!E189,0)</f>
        <v>0.49695355574245381</v>
      </c>
      <c r="F106" s="411">
        <f>IFERROR((E67+E73)/Assumptions!F189,0)</f>
        <v>0.55394822913746367</v>
      </c>
      <c r="G106" s="411">
        <f>IFERROR((F67+F73)/Assumptions!G189,0)</f>
        <v>0.61094290253247352</v>
      </c>
      <c r="H106" s="411">
        <f>IFERROR((G67+G73)/Assumptions!H189,0)</f>
        <v>0.68793570694327622</v>
      </c>
      <c r="I106" s="411">
        <f>IFERROR((H67+H73)/Assumptions!I189,0)</f>
        <v>0.76392860480328917</v>
      </c>
      <c r="J106" s="411">
        <f>IFERROR((I67+I73)/Assumptions!J189,0)</f>
        <v>0.76392860480328906</v>
      </c>
      <c r="K106" s="411">
        <f>IFERROR((J67+J73)/Assumptions!K189,0)</f>
        <v>0.76392860480328917</v>
      </c>
      <c r="L106" s="411">
        <f>IFERROR((K67+K73)/Assumptions!L189,0)</f>
        <v>0.76392860480328917</v>
      </c>
    </row>
    <row r="108" spans="1:12" x14ac:dyDescent="0.2">
      <c r="A108" s="444" t="s">
        <v>1125</v>
      </c>
    </row>
    <row r="109" spans="1:12" x14ac:dyDescent="0.2">
      <c r="A109" t="s">
        <v>345</v>
      </c>
      <c r="B109" t="s">
        <v>1126</v>
      </c>
      <c r="C109" s="446" t="str">
        <f>""</f>
        <v/>
      </c>
      <c r="D109" s="446" t="str">
        <f>""</f>
        <v/>
      </c>
      <c r="E109" s="446" t="str">
        <f>""</f>
        <v/>
      </c>
      <c r="F109" s="446" t="str">
        <f>""</f>
        <v/>
      </c>
      <c r="G109" s="446" t="str">
        <f>""</f>
        <v/>
      </c>
      <c r="H109" s="446" t="str">
        <f>""</f>
        <v/>
      </c>
      <c r="I109" s="446" t="str">
        <f>""</f>
        <v/>
      </c>
      <c r="J109" s="446" t="str">
        <f>""</f>
        <v/>
      </c>
      <c r="K109" s="446" t="str">
        <f>""</f>
        <v/>
      </c>
      <c r="L109" s="446" t="str">
        <f>""</f>
        <v/>
      </c>
    </row>
    <row r="110" spans="1:12" x14ac:dyDescent="0.2">
      <c r="A110" t="s">
        <v>346</v>
      </c>
      <c r="B110" t="s">
        <v>1126</v>
      </c>
      <c r="C110" s="446">
        <f>IFERROR(B55/Assumptions!C179/Assumptions!$B$15,0)</f>
        <v>3.0988437217705509</v>
      </c>
      <c r="D110" s="446">
        <f>IFERROR(C55/Assumptions!D179/Assumptions!$B$15,0)</f>
        <v>4.9121409214092129</v>
      </c>
      <c r="E110" s="446">
        <f>IFERROR(D55/Assumptions!E179/Assumptions!$B$15,0)</f>
        <v>5.0440785907859071</v>
      </c>
      <c r="F110" s="446">
        <f>IFERROR(E55/Assumptions!F179/Assumptions!$B$15,0)</f>
        <v>5.1900687929956213</v>
      </c>
      <c r="G110" s="446">
        <f>IFERROR(F55/Assumptions!G179/Assumptions!$B$15,0)</f>
        <v>4.9608563685636851</v>
      </c>
      <c r="H110" s="446">
        <f>IFERROR(G55/Assumptions!H179/Assumptions!$B$15,0)</f>
        <v>4.92885700621712</v>
      </c>
      <c r="I110" s="446">
        <f>IFERROR(H55/Assumptions!I179/Assumptions!$B$15,0)</f>
        <v>5.169250225835591</v>
      </c>
      <c r="J110" s="446">
        <f>IFERROR(I55/Assumptions!J179/Assumptions!$B$15,0)</f>
        <v>5.1692502258355892</v>
      </c>
      <c r="K110" s="446">
        <f>IFERROR(J55/Assumptions!K179/Assumptions!$B$15,0)</f>
        <v>5.169250225835591</v>
      </c>
      <c r="L110" s="446">
        <f>IFERROR(K55/Assumptions!L179/Assumptions!$B$15,0)</f>
        <v>4.8971844244758227</v>
      </c>
    </row>
    <row r="111" spans="1:12" x14ac:dyDescent="0.2">
      <c r="A111" t="s">
        <v>347</v>
      </c>
      <c r="B111" t="s">
        <v>1126</v>
      </c>
      <c r="C111" s="446">
        <f>IFERROR(B61/Assumptions!C180/Assumptions!$B$15,0)</f>
        <v>1.9921138211382112</v>
      </c>
      <c r="D111" s="446">
        <f>IFERROR(C61/Assumptions!D180/Assumptions!$B$15,0)</f>
        <v>3.15780487804878</v>
      </c>
      <c r="E111" s="446">
        <f>IFERROR(D61/Assumptions!E180/Assumptions!$B$15,0)</f>
        <v>3.2426219512195114</v>
      </c>
      <c r="F111" s="446">
        <f>IFERROR(E61/Assumptions!F180/Assumptions!$B$15,0)</f>
        <v>2.8916097560975604</v>
      </c>
      <c r="G111" s="446">
        <f>IFERROR(F61/Assumptions!G180/Assumptions!$B$15,0)</f>
        <v>3.1891219512195117</v>
      </c>
      <c r="H111" s="446">
        <f>IFERROR(G61/Assumptions!H180/Assumptions!$B$15,0)</f>
        <v>2.9925203252032513</v>
      </c>
      <c r="I111" s="446">
        <f>IFERROR(H61/Assumptions!I180/Assumptions!$B$15,0)</f>
        <v>3.21</v>
      </c>
      <c r="J111" s="446">
        <f>IFERROR(I61/Assumptions!J180/Assumptions!$B$15,0)</f>
        <v>3.21</v>
      </c>
      <c r="K111" s="446">
        <f>IFERROR(J61/Assumptions!K180/Assumptions!$B$15,0)</f>
        <v>3.21</v>
      </c>
      <c r="L111" s="446">
        <f>IFERROR(K61/Assumptions!L180/Assumptions!$B$15,0)</f>
        <v>3.21</v>
      </c>
    </row>
    <row r="112" spans="1:12" x14ac:dyDescent="0.2">
      <c r="A112" t="s">
        <v>348</v>
      </c>
      <c r="B112" t="s">
        <v>1126</v>
      </c>
      <c r="C112" s="446">
        <f>IFERROR(B79/Assumptions!C181/Assumptions!$B$15,0)</f>
        <v>3.7186124661246613</v>
      </c>
      <c r="D112" s="446">
        <f>IFERROR(C79/Assumptions!D181/Assumptions!$B$15,0)</f>
        <v>4.4209268292682919</v>
      </c>
      <c r="E112" s="446">
        <f>IFERROR(D79/Assumptions!E181/Assumptions!$B$15,0)</f>
        <v>4.8423154471544709</v>
      </c>
      <c r="F112" s="446">
        <f>IFERROR(E79/Assumptions!F181/Assumptions!$B$15,0)</f>
        <v>4.4980596205962051</v>
      </c>
      <c r="G112" s="446">
        <f>IFERROR(F79/Assumptions!G181/Assumptions!$B$15,0)</f>
        <v>4.9608563685636851</v>
      </c>
      <c r="H112" s="446">
        <f>IFERROR(G79/Assumptions!H181/Assumptions!$B$15,0)</f>
        <v>4.5857142857142854</v>
      </c>
      <c r="I112" s="446">
        <f>IFERROR(H79/Assumptions!I181/Assumptions!$B$15,0)</f>
        <v>4.5857142857142854</v>
      </c>
      <c r="J112" s="446">
        <f>IFERROR(I79/Assumptions!J181/Assumptions!$B$15,0)</f>
        <v>4.5857142857142854</v>
      </c>
      <c r="K112" s="446">
        <f>IFERROR(J79/Assumptions!K181/Assumptions!$B$15,0)</f>
        <v>4.5857142857142854</v>
      </c>
      <c r="L112" s="446">
        <f>IFERROR(K79/Assumptions!L181/Assumptions!$B$15,0)</f>
        <v>4.5857142857142854</v>
      </c>
    </row>
    <row r="113" spans="1:12" x14ac:dyDescent="0.2">
      <c r="A113" t="s">
        <v>1124</v>
      </c>
      <c r="B113" t="s">
        <v>1126</v>
      </c>
      <c r="C113" s="446">
        <f>IFERROR((B67+B73)/Assumptions!C182/Assumptions!$B$15,0)</f>
        <v>1.9921138211382112</v>
      </c>
      <c r="D113" s="446">
        <f>IFERROR((C67+C73)/Assumptions!D182/Assumptions!$B$15,0)</f>
        <v>3.15780487804878</v>
      </c>
      <c r="E113" s="446">
        <f>IFERROR((D67+D73)/Assumptions!E182/Assumptions!$B$15,0)</f>
        <v>4.3234959349593485</v>
      </c>
      <c r="F113" s="446">
        <f>IFERROR((E67+E73)/Assumptions!F182/Assumptions!$B$15,0)</f>
        <v>4.8193495934959341</v>
      </c>
      <c r="G113" s="446">
        <f>IFERROR((F67+F73)/Assumptions!G182/Assumptions!$B$15,0)</f>
        <v>5.3152032520325196</v>
      </c>
      <c r="H113" s="446">
        <f>IFERROR((G67+G73)/Assumptions!H182/Assumptions!$B$15,0)</f>
        <v>5.9850406504065026</v>
      </c>
      <c r="I113" s="446">
        <f>IFERROR((H67+H73)/Assumptions!I182/Assumptions!$B$15,0)</f>
        <v>6.6461788617886164</v>
      </c>
      <c r="J113" s="446">
        <f>IFERROR((I67+I73)/Assumptions!J182/Assumptions!$B$15,0)</f>
        <v>6.6461788617886155</v>
      </c>
      <c r="K113" s="446">
        <f>IFERROR((J67+J73)/Assumptions!K182/Assumptions!$B$15,0)</f>
        <v>6.6461788617886164</v>
      </c>
      <c r="L113" s="446">
        <f>IFERROR((K67+K73)/Assumptions!L182/Assumptions!$B$15,0)</f>
        <v>6.6461788617886164</v>
      </c>
    </row>
    <row r="115" spans="1:12" x14ac:dyDescent="0.2">
      <c r="A115" s="445" t="s">
        <v>1127</v>
      </c>
    </row>
    <row r="116" spans="1:12" x14ac:dyDescent="0.2">
      <c r="A116" t="s">
        <v>345</v>
      </c>
      <c r="B116" t="s">
        <v>1128</v>
      </c>
      <c r="C116" s="447" t="str">
        <f>""</f>
        <v/>
      </c>
      <c r="D116" s="447" t="str">
        <f>""</f>
        <v/>
      </c>
      <c r="E116" s="447" t="str">
        <f>""</f>
        <v/>
      </c>
      <c r="F116" s="447" t="str">
        <f>""</f>
        <v/>
      </c>
      <c r="G116" s="447" t="str">
        <f>""</f>
        <v/>
      </c>
      <c r="H116" s="447" t="str">
        <f>""</f>
        <v/>
      </c>
      <c r="I116" s="447" t="str">
        <f>""</f>
        <v/>
      </c>
      <c r="J116" s="447" t="str">
        <f>""</f>
        <v/>
      </c>
      <c r="K116" s="447" t="str">
        <f>""</f>
        <v/>
      </c>
      <c r="L116" s="447" t="str">
        <f>""</f>
        <v/>
      </c>
    </row>
    <row r="117" spans="1:12" x14ac:dyDescent="0.2">
      <c r="A117" t="s">
        <v>346</v>
      </c>
      <c r="B117" t="s">
        <v>1128</v>
      </c>
      <c r="C117" s="447" t="str">
        <f>IF(Assumptions!C186&lt;Assumptions!$D$40,"Staff","Room")</f>
        <v>Staff</v>
      </c>
      <c r="D117" s="447" t="str">
        <f>IF(Assumptions!D186&lt;Assumptions!$D$40,"Staff","Room")</f>
        <v>Staff</v>
      </c>
      <c r="E117" s="447" t="str">
        <f>IF(Assumptions!E186&lt;Assumptions!$D$40,"Staff","Room")</f>
        <v>Staff</v>
      </c>
      <c r="F117" s="447" t="str">
        <f>IF(Assumptions!F186&lt;Assumptions!$D$40,"Staff","Room")</f>
        <v>Staff</v>
      </c>
      <c r="G117" s="447" t="str">
        <f>IF(Assumptions!G186&lt;Assumptions!$D$40,"Staff","Room")</f>
        <v>Staff</v>
      </c>
      <c r="H117" s="447" t="str">
        <f>IF(Assumptions!H186&lt;Assumptions!$D$40,"Staff","Room")</f>
        <v>Staff</v>
      </c>
      <c r="I117" s="447" t="str">
        <f>IF(Assumptions!I186&lt;Assumptions!$D$40,"Staff","Room")</f>
        <v>Staff</v>
      </c>
      <c r="J117" s="447" t="str">
        <f>IF(Assumptions!J186&lt;Assumptions!$D$40,"Staff","Room")</f>
        <v>Staff</v>
      </c>
      <c r="K117" s="447" t="str">
        <f>IF(Assumptions!K186&lt;Assumptions!$D$40,"Staff","Room")</f>
        <v>Staff</v>
      </c>
      <c r="L117" s="447" t="str">
        <f>IF(Assumptions!L186&lt;Assumptions!$D$40,"Staff","Room")</f>
        <v>Staff</v>
      </c>
    </row>
    <row r="118" spans="1:12" x14ac:dyDescent="0.2">
      <c r="A118" t="s">
        <v>347</v>
      </c>
      <c r="B118" t="s">
        <v>1128</v>
      </c>
      <c r="C118" s="447" t="str">
        <f>IF(Assumptions!C187&lt;Assumptions!$D$41,"Staff","Room")</f>
        <v>Staff</v>
      </c>
      <c r="D118" s="447" t="str">
        <f>IF(Assumptions!D187&lt;Assumptions!$D$41,"Staff","Room")</f>
        <v>Staff</v>
      </c>
      <c r="E118" s="447" t="str">
        <f>IF(Assumptions!E187&lt;Assumptions!$D$41,"Staff","Room")</f>
        <v>Staff</v>
      </c>
      <c r="F118" s="447" t="str">
        <f>IF(Assumptions!F187&lt;Assumptions!$D$41,"Staff","Room")</f>
        <v>Staff</v>
      </c>
      <c r="G118" s="447" t="str">
        <f>IF(Assumptions!G187&lt;Assumptions!$D$41,"Staff","Room")</f>
        <v>Staff</v>
      </c>
      <c r="H118" s="447" t="str">
        <f>IF(Assumptions!H187&lt;Assumptions!$D$41,"Staff","Room")</f>
        <v>Room</v>
      </c>
      <c r="I118" s="447" t="str">
        <f>IF(Assumptions!I187&lt;Assumptions!$D$41,"Staff","Room")</f>
        <v>Room</v>
      </c>
      <c r="J118" s="447" t="str">
        <f>IF(Assumptions!J187&lt;Assumptions!$D$41,"Staff","Room")</f>
        <v>Room</v>
      </c>
      <c r="K118" s="447" t="str">
        <f>IF(Assumptions!K187&lt;Assumptions!$D$41,"Staff","Room")</f>
        <v>Room</v>
      </c>
      <c r="L118" s="447" t="str">
        <f>IF(Assumptions!L187&lt;Assumptions!$D$41,"Staff","Room")</f>
        <v>Room</v>
      </c>
    </row>
    <row r="119" spans="1:12" x14ac:dyDescent="0.2">
      <c r="A119" t="s">
        <v>348</v>
      </c>
      <c r="B119" t="s">
        <v>1128</v>
      </c>
      <c r="C119" s="447" t="str">
        <f>IF(Assumptions!C188&lt;Assumptions!$D$42,"Staff","Room")</f>
        <v>Staff</v>
      </c>
      <c r="D119" s="447" t="str">
        <f>IF(Assumptions!D188&lt;Assumptions!$D$42,"Staff","Room")</f>
        <v>Staff</v>
      </c>
      <c r="E119" s="447" t="str">
        <f>IF(Assumptions!E188&lt;Assumptions!$D$42,"Staff","Room")</f>
        <v>Staff</v>
      </c>
      <c r="F119" s="447" t="str">
        <f>IF(Assumptions!F188&lt;Assumptions!$D$42,"Staff","Room")</f>
        <v>Staff</v>
      </c>
      <c r="G119" s="447" t="str">
        <f>IF(Assumptions!G188&lt;Assumptions!$D$42,"Staff","Room")</f>
        <v>Staff</v>
      </c>
      <c r="H119" s="447" t="str">
        <f>IF(Assumptions!H188&lt;Assumptions!$D$42,"Staff","Room")</f>
        <v>Room</v>
      </c>
      <c r="I119" s="447" t="str">
        <f>IF(Assumptions!I188&lt;Assumptions!$D$42,"Staff","Room")</f>
        <v>Room</v>
      </c>
      <c r="J119" s="447" t="str">
        <f>IF(Assumptions!J188&lt;Assumptions!$D$42,"Staff","Room")</f>
        <v>Room</v>
      </c>
      <c r="K119" s="447" t="str">
        <f>IF(Assumptions!K188&lt;Assumptions!$D$42,"Staff","Room")</f>
        <v>Room</v>
      </c>
      <c r="L119" s="447" t="str">
        <f>IF(Assumptions!L188&lt;Assumptions!$D$42,"Staff","Room")</f>
        <v>Room</v>
      </c>
    </row>
    <row r="120" spans="1:12" x14ac:dyDescent="0.2">
      <c r="A120" t="s">
        <v>1124</v>
      </c>
      <c r="B120" t="s">
        <v>1128</v>
      </c>
      <c r="C120" s="447" t="str">
        <f>IF(Assumptions!C189&lt;Assumptions!$D$43,"Staff","Room")</f>
        <v>Staff</v>
      </c>
      <c r="D120" s="447" t="str">
        <f>IF(Assumptions!D189&lt;Assumptions!$D$43,"Staff","Room")</f>
        <v>Staff</v>
      </c>
      <c r="E120" s="447" t="str">
        <f>IF(Assumptions!E189&lt;Assumptions!$D$43,"Staff","Room")</f>
        <v>Staff</v>
      </c>
      <c r="F120" s="447" t="str">
        <f>IF(Assumptions!F189&lt;Assumptions!$D$43,"Staff","Room")</f>
        <v>Staff</v>
      </c>
      <c r="G120" s="447" t="str">
        <f>IF(Assumptions!G189&lt;Assumptions!$D$43,"Staff","Room")</f>
        <v>Staff</v>
      </c>
      <c r="H120" s="447" t="str">
        <f>IF(Assumptions!H189&lt;Assumptions!$D$43,"Staff","Room")</f>
        <v>Staff</v>
      </c>
      <c r="I120" s="447" t="str">
        <f>IF(Assumptions!I189&lt;Assumptions!$D$43,"Staff","Room")</f>
        <v>Staff</v>
      </c>
      <c r="J120" s="447" t="str">
        <f>IF(Assumptions!J189&lt;Assumptions!$D$43,"Staff","Room")</f>
        <v>Staff</v>
      </c>
      <c r="K120" s="447" t="str">
        <f>IF(Assumptions!K189&lt;Assumptions!$D$43,"Staff","Room")</f>
        <v>Staff</v>
      </c>
      <c r="L120" s="447" t="str">
        <f>IF(Assumptions!L189&lt;Assumptions!$D$43,"Staff","Room")</f>
        <v>Staff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D19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8" customWidth="1"/>
    <col min="2" max="2" width="30" customWidth="1"/>
    <col min="3" max="3" width="12" customWidth="1"/>
    <col min="4" max="4" width="45" customWidth="1"/>
  </cols>
  <sheetData>
    <row r="1" spans="1:4" ht="27.75" customHeight="1" x14ac:dyDescent="0.2">
      <c r="A1" s="677" t="s">
        <v>1129</v>
      </c>
      <c r="B1" s="678"/>
      <c r="C1" s="678"/>
      <c r="D1" s="678"/>
    </row>
    <row r="3" spans="1:4" ht="21.75" customHeight="1" x14ac:dyDescent="0.2">
      <c r="A3" s="253" t="s">
        <v>267</v>
      </c>
      <c r="B3" s="254" t="s">
        <v>405</v>
      </c>
      <c r="C3" s="254" t="s">
        <v>776</v>
      </c>
      <c r="D3" s="254" t="s">
        <v>1130</v>
      </c>
    </row>
    <row r="4" spans="1:4" ht="15" customHeight="1" x14ac:dyDescent="0.2">
      <c r="A4" s="210" t="s">
        <v>1131</v>
      </c>
      <c r="B4" s="210" t="s">
        <v>1132</v>
      </c>
      <c r="C4" s="210" t="s">
        <v>1133</v>
      </c>
      <c r="D4" s="210" t="s">
        <v>1134</v>
      </c>
    </row>
    <row r="5" spans="1:4" ht="15" customHeight="1" x14ac:dyDescent="0.2">
      <c r="A5" s="210" t="s">
        <v>1135</v>
      </c>
      <c r="B5" s="210" t="s">
        <v>1136</v>
      </c>
      <c r="C5" s="210" t="s">
        <v>1133</v>
      </c>
      <c r="D5" s="210" t="s">
        <v>1137</v>
      </c>
    </row>
    <row r="6" spans="1:4" ht="15" customHeight="1" x14ac:dyDescent="0.2">
      <c r="A6" s="210" t="s">
        <v>1138</v>
      </c>
      <c r="B6" s="210" t="s">
        <v>1139</v>
      </c>
      <c r="C6" s="210" t="s">
        <v>1133</v>
      </c>
      <c r="D6" s="210" t="s">
        <v>1140</v>
      </c>
    </row>
    <row r="7" spans="1:4" ht="15" customHeight="1" x14ac:dyDescent="0.2">
      <c r="A7" s="210" t="s">
        <v>1141</v>
      </c>
      <c r="B7" s="210" t="s">
        <v>1142</v>
      </c>
      <c r="C7" s="210" t="s">
        <v>1133</v>
      </c>
      <c r="D7" s="210" t="s">
        <v>1143</v>
      </c>
    </row>
    <row r="8" spans="1:4" ht="15" customHeight="1" x14ac:dyDescent="0.2">
      <c r="A8" s="210" t="s">
        <v>1144</v>
      </c>
      <c r="B8" s="210" t="s">
        <v>1145</v>
      </c>
      <c r="C8" s="210" t="s">
        <v>1133</v>
      </c>
      <c r="D8" s="210" t="s">
        <v>1146</v>
      </c>
    </row>
    <row r="9" spans="1:4" ht="15" customHeight="1" x14ac:dyDescent="0.2">
      <c r="A9" s="210" t="s">
        <v>1147</v>
      </c>
      <c r="B9" s="210" t="s">
        <v>1148</v>
      </c>
      <c r="C9" s="210" t="s">
        <v>1133</v>
      </c>
      <c r="D9" s="210" t="s">
        <v>1149</v>
      </c>
    </row>
    <row r="10" spans="1:4" ht="15" customHeight="1" x14ac:dyDescent="0.2">
      <c r="A10" s="210" t="s">
        <v>4</v>
      </c>
      <c r="B10" s="210" t="s">
        <v>1150</v>
      </c>
      <c r="C10" s="210" t="s">
        <v>1133</v>
      </c>
      <c r="D10" s="210" t="s">
        <v>1151</v>
      </c>
    </row>
    <row r="11" spans="1:4" ht="15" customHeight="1" x14ac:dyDescent="0.2">
      <c r="A11" s="210" t="s">
        <v>691</v>
      </c>
      <c r="B11" s="210" t="s">
        <v>1152</v>
      </c>
      <c r="C11" s="210" t="s">
        <v>1133</v>
      </c>
      <c r="D11" s="210" t="s">
        <v>1153</v>
      </c>
    </row>
    <row r="12" spans="1:4" ht="15" customHeight="1" x14ac:dyDescent="0.2">
      <c r="A12" s="210" t="s">
        <v>1154</v>
      </c>
      <c r="B12" s="210" t="s">
        <v>1155</v>
      </c>
      <c r="C12" s="210" t="s">
        <v>1133</v>
      </c>
      <c r="D12" s="210" t="s">
        <v>1156</v>
      </c>
    </row>
    <row r="13" spans="1:4" ht="15" customHeight="1" x14ac:dyDescent="0.2">
      <c r="A13" s="210" t="s">
        <v>1157</v>
      </c>
      <c r="B13" s="210" t="s">
        <v>1158</v>
      </c>
      <c r="C13" s="210" t="s">
        <v>1133</v>
      </c>
      <c r="D13" s="210" t="s">
        <v>1159</v>
      </c>
    </row>
    <row r="14" spans="1:4" ht="15" customHeight="1" x14ac:dyDescent="0.2">
      <c r="A14" s="210" t="s">
        <v>1160</v>
      </c>
      <c r="B14" s="210" t="s">
        <v>1161</v>
      </c>
      <c r="C14" s="210" t="s">
        <v>1133</v>
      </c>
      <c r="D14" s="210" t="s">
        <v>1162</v>
      </c>
    </row>
    <row r="15" spans="1:4" ht="15" customHeight="1" x14ac:dyDescent="0.2">
      <c r="A15" s="210" t="s">
        <v>1163</v>
      </c>
      <c r="B15" s="210" t="s">
        <v>1164</v>
      </c>
      <c r="C15" s="210" t="s">
        <v>1133</v>
      </c>
      <c r="D15" s="210" t="s">
        <v>1165</v>
      </c>
    </row>
    <row r="16" spans="1:4" ht="15" customHeight="1" x14ac:dyDescent="0.2">
      <c r="A16" s="222" t="s">
        <v>1166</v>
      </c>
      <c r="B16" s="222" t="s">
        <v>1167</v>
      </c>
      <c r="C16" s="247" t="s">
        <v>1168</v>
      </c>
      <c r="D16" s="222" t="s">
        <v>1169</v>
      </c>
    </row>
    <row r="17" spans="1:4" ht="15" customHeight="1" x14ac:dyDescent="0.2">
      <c r="A17" s="222" t="s">
        <v>1170</v>
      </c>
      <c r="B17" s="222" t="s">
        <v>1171</v>
      </c>
      <c r="C17" s="247" t="s">
        <v>1172</v>
      </c>
      <c r="D17" s="222" t="s">
        <v>1173</v>
      </c>
    </row>
    <row r="18" spans="1:4" ht="15" customHeight="1" x14ac:dyDescent="0.2">
      <c r="A18" s="222" t="s">
        <v>1174</v>
      </c>
      <c r="B18" s="222" t="s">
        <v>1175</v>
      </c>
      <c r="C18" s="247" t="s">
        <v>1172</v>
      </c>
      <c r="D18" s="222" t="s">
        <v>1176</v>
      </c>
    </row>
    <row r="19" spans="1:4" ht="15" customHeight="1" x14ac:dyDescent="0.2">
      <c r="A19" s="222" t="s">
        <v>1177</v>
      </c>
      <c r="B19" s="222" t="s">
        <v>1178</v>
      </c>
      <c r="C19" s="247" t="s">
        <v>1133</v>
      </c>
      <c r="D19" s="222" t="s">
        <v>1179</v>
      </c>
    </row>
  </sheetData>
  <mergeCells count="1">
    <mergeCell ref="A1:D1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Assumptions</vt:lpstr>
      <vt:lpstr>Price List</vt:lpstr>
      <vt:lpstr>Revenue</vt:lpstr>
      <vt:lpstr>Capacity</vt:lpstr>
      <vt:lpstr>Sales Plan</vt:lpstr>
      <vt:lpstr>Staffing Detail</vt:lpstr>
      <vt:lpstr>OpEx</vt:lpstr>
      <vt:lpstr>P&amp;L</vt:lpstr>
      <vt:lpstr>Monthly P&amp;L</vt:lpstr>
      <vt:lpstr>CapEx</vt:lpstr>
      <vt:lpstr>Cash Flow &amp; DCF</vt:lpstr>
      <vt:lpstr>Exit Valuation</vt:lpstr>
      <vt:lpstr>Sensitivity Analysis</vt:lpstr>
      <vt:lpstr>Patient Acquisition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Ngouen</cp:lastModifiedBy>
  <cp:revision>0</cp:revision>
  <dcterms:created xsi:type="dcterms:W3CDTF">2026-02-20T19:37:26Z</dcterms:created>
  <dcterms:modified xsi:type="dcterms:W3CDTF">2026-04-16T07:13:30Z</dcterms:modified>
  <dc:language>en-US</dc:language>
</cp:coreProperties>
</file>